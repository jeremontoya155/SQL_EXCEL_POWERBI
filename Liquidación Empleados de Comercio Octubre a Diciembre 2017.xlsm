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730" windowHeight="10230"/>
  </bookViews>
  <sheets>
    <sheet name="OCT-DIC 17" sheetId="1" r:id="rId1"/>
    <sheet name="Tablas" sheetId="2" r:id="rId2"/>
  </sheets>
  <definedNames>
    <definedName name="_xlnm._FilterDatabase" localSheetId="0" hidden="1">'OCT-DIC 17'!$H$12:$N$38</definedName>
    <definedName name="_xlnm.Print_Area" localSheetId="0">'OCT-DIC 17'!$H:$N</definedName>
    <definedName name="Z_378D02D6_47FA_4633_9120_8AFCDBA35426_.wvu.PrintArea" localSheetId="0" hidden="1">'OCT-DIC 17'!$H:$N</definedName>
  </definedNames>
  <calcPr calcId="124519"/>
  <customWorkbookViews>
    <customWorkbookView name="1" guid="{378D02D6-47FA-4633-9120-8AFCDBA35426}" includeHiddenRowCol="0" maximized="1" xWindow="1" yWindow="1" windowWidth="1440" windowHeight="696" activeSheetId="1" showFormulaBar="0"/>
  </customWorkbookViews>
</workbook>
</file>

<file path=xl/calcChain.xml><?xml version="1.0" encoding="utf-8"?>
<calcChain xmlns="http://schemas.openxmlformats.org/spreadsheetml/2006/main">
  <c r="J4" i="2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3"/>
  <c r="J2" i="1"/>
  <c r="H25" s="1"/>
  <c r="J25" s="1"/>
  <c r="H23" l="1"/>
  <c r="K21"/>
  <c r="K14"/>
  <c r="H22"/>
  <c r="H21"/>
  <c r="H18"/>
  <c r="J18" s="1"/>
  <c r="H35"/>
  <c r="J24"/>
  <c r="H24" s="1"/>
  <c r="J17"/>
  <c r="H17" s="1"/>
  <c r="J21"/>
  <c r="J19" l="1"/>
  <c r="H10"/>
  <c r="J20"/>
  <c r="S4"/>
  <c r="U4"/>
  <c r="U6"/>
  <c r="T7"/>
  <c r="T9"/>
  <c r="S10"/>
  <c r="S12"/>
  <c r="U12"/>
  <c r="U14"/>
  <c r="T15"/>
  <c r="T17"/>
  <c r="S19"/>
  <c r="S21"/>
  <c r="U21"/>
  <c r="U23"/>
  <c r="T24"/>
  <c r="R4"/>
  <c r="R5"/>
  <c r="R6"/>
  <c r="R7"/>
  <c r="R8"/>
  <c r="R9"/>
  <c r="R10"/>
  <c r="R11"/>
  <c r="R12"/>
  <c r="R13"/>
  <c r="R14"/>
  <c r="R15"/>
  <c r="R16"/>
  <c r="R17"/>
  <c r="R19"/>
  <c r="R20"/>
  <c r="R21"/>
  <c r="R22"/>
  <c r="R23"/>
  <c r="R24"/>
  <c r="R3"/>
  <c r="R2"/>
  <c r="S2"/>
  <c r="T2"/>
  <c r="U2"/>
  <c r="Q2"/>
  <c r="Q3"/>
  <c r="Q4"/>
  <c r="Q5"/>
  <c r="Q6"/>
  <c r="Q7"/>
  <c r="Q8"/>
  <c r="Q9"/>
  <c r="Q10"/>
  <c r="Q11"/>
  <c r="Q12"/>
  <c r="Q13"/>
  <c r="Q14"/>
  <c r="Q15"/>
  <c r="Q16"/>
  <c r="Q17"/>
  <c r="Q19"/>
  <c r="Q20"/>
  <c r="Q21"/>
  <c r="Q22"/>
  <c r="Q23"/>
  <c r="Q24"/>
  <c r="R1"/>
  <c r="S1"/>
  <c r="T1"/>
  <c r="U1"/>
  <c r="Q1"/>
  <c r="E23" i="2"/>
  <c r="F23" s="1"/>
  <c r="D23"/>
  <c r="C23"/>
  <c r="S24" i="1" s="1"/>
  <c r="E22" i="2"/>
  <c r="D22"/>
  <c r="T23" i="1" s="1"/>
  <c r="C22" i="2"/>
  <c r="S23" i="1" s="1"/>
  <c r="E21" i="2"/>
  <c r="F21" s="1"/>
  <c r="D21"/>
  <c r="T22" i="1" s="1"/>
  <c r="C21" i="2"/>
  <c r="S22" i="1" s="1"/>
  <c r="E20" i="2"/>
  <c r="E24" s="1"/>
  <c r="D20"/>
  <c r="T21" i="1" s="1"/>
  <c r="C20" i="2"/>
  <c r="E19"/>
  <c r="F19" s="1"/>
  <c r="D19"/>
  <c r="T20" i="1" s="1"/>
  <c r="C19" i="2"/>
  <c r="S20" i="1" s="1"/>
  <c r="E18" i="2"/>
  <c r="U19" i="1" s="1"/>
  <c r="D18" i="2"/>
  <c r="T19" i="1" s="1"/>
  <c r="C18" i="2"/>
  <c r="E17"/>
  <c r="F17" s="1"/>
  <c r="D17"/>
  <c r="C17"/>
  <c r="S17" i="1" s="1"/>
  <c r="E16" i="2"/>
  <c r="U16" i="1" s="1"/>
  <c r="D16" i="2"/>
  <c r="T16" i="1" s="1"/>
  <c r="C16" i="2"/>
  <c r="S16" i="1" s="1"/>
  <c r="E15" i="2"/>
  <c r="F15" s="1"/>
  <c r="D15"/>
  <c r="C15"/>
  <c r="S15" i="1" s="1"/>
  <c r="E14" i="2"/>
  <c r="D14"/>
  <c r="T14" i="1" s="1"/>
  <c r="C14" i="2"/>
  <c r="S14" i="1" s="1"/>
  <c r="E13" i="2"/>
  <c r="F13" s="1"/>
  <c r="D13"/>
  <c r="T13" i="1" s="1"/>
  <c r="C13" i="2"/>
  <c r="S13" i="1" s="1"/>
  <c r="E12" i="2"/>
  <c r="D12"/>
  <c r="T12" i="1" s="1"/>
  <c r="C12" i="2"/>
  <c r="E11"/>
  <c r="F11" s="1"/>
  <c r="D11"/>
  <c r="T11" i="1" s="1"/>
  <c r="C11" i="2"/>
  <c r="S11" i="1" s="1"/>
  <c r="E10" i="2"/>
  <c r="U10" i="1" s="1"/>
  <c r="D10" i="2"/>
  <c r="T10" i="1" s="1"/>
  <c r="C10" i="2"/>
  <c r="E9"/>
  <c r="F9" s="1"/>
  <c r="D9"/>
  <c r="C9"/>
  <c r="S9" i="1" s="1"/>
  <c r="E8" i="2"/>
  <c r="U8" i="1" s="1"/>
  <c r="D8" i="2"/>
  <c r="T8" i="1" s="1"/>
  <c r="C8" i="2"/>
  <c r="S8" i="1" s="1"/>
  <c r="E7" i="2"/>
  <c r="F7" s="1"/>
  <c r="D7"/>
  <c r="C7"/>
  <c r="S7" i="1" s="1"/>
  <c r="E6" i="2"/>
  <c r="D6"/>
  <c r="T6" i="1" s="1"/>
  <c r="C6" i="2"/>
  <c r="S6" i="1" s="1"/>
  <c r="E5" i="2"/>
  <c r="F5" s="1"/>
  <c r="D5"/>
  <c r="T5" i="1" s="1"/>
  <c r="C5" i="2"/>
  <c r="S5" i="1" s="1"/>
  <c r="E4" i="2"/>
  <c r="D4"/>
  <c r="T4" i="1" s="1"/>
  <c r="C4" i="2"/>
  <c r="E3"/>
  <c r="F3" s="1"/>
  <c r="D3"/>
  <c r="T3" i="1" s="1"/>
  <c r="C3" i="2"/>
  <c r="S3" i="1" s="1"/>
  <c r="H34"/>
  <c r="H33"/>
  <c r="J33" s="1"/>
  <c r="G3" i="2" l="1"/>
  <c r="H3" s="1"/>
  <c r="I3"/>
  <c r="I23"/>
  <c r="G23"/>
  <c r="H23"/>
  <c r="F4"/>
  <c r="F6"/>
  <c r="F8"/>
  <c r="F10"/>
  <c r="F12"/>
  <c r="F14"/>
  <c r="F16"/>
  <c r="F18"/>
  <c r="F20"/>
  <c r="F24" s="1"/>
  <c r="F22"/>
  <c r="U24" i="1"/>
  <c r="U22"/>
  <c r="U20"/>
  <c r="U17"/>
  <c r="U15"/>
  <c r="U13"/>
  <c r="U11"/>
  <c r="U9"/>
  <c r="U7"/>
  <c r="U5"/>
  <c r="U3"/>
  <c r="I5" i="2"/>
  <c r="G5"/>
  <c r="H5" s="1"/>
  <c r="I7"/>
  <c r="G7"/>
  <c r="H7" s="1"/>
  <c r="I9"/>
  <c r="G9"/>
  <c r="H9" s="1"/>
  <c r="I11"/>
  <c r="H11"/>
  <c r="G11"/>
  <c r="I13"/>
  <c r="G13"/>
  <c r="H13" s="1"/>
  <c r="I15"/>
  <c r="H15"/>
  <c r="G15"/>
  <c r="I17"/>
  <c r="G17"/>
  <c r="H17" s="1"/>
  <c r="I19"/>
  <c r="H19"/>
  <c r="G19"/>
  <c r="I21"/>
  <c r="G21"/>
  <c r="H21" s="1"/>
  <c r="H15" i="1"/>
  <c r="H16"/>
  <c r="J23" s="1"/>
  <c r="H27"/>
  <c r="H26"/>
  <c r="H20"/>
  <c r="H19"/>
  <c r="D31"/>
  <c r="C31"/>
  <c r="D30"/>
  <c r="C30"/>
  <c r="K35"/>
  <c r="N35" s="1"/>
  <c r="D29"/>
  <c r="C29"/>
  <c r="J34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D2"/>
  <c r="C2"/>
  <c r="D1"/>
  <c r="I24" i="2" l="1"/>
  <c r="G24"/>
  <c r="H24" s="1"/>
  <c r="I20"/>
  <c r="M21" i="1" s="1"/>
  <c r="G20" i="2"/>
  <c r="H20"/>
  <c r="L14" i="1" s="1"/>
  <c r="I16" i="2"/>
  <c r="G16"/>
  <c r="H16" s="1"/>
  <c r="I12"/>
  <c r="G12"/>
  <c r="H12" s="1"/>
  <c r="I8"/>
  <c r="G8"/>
  <c r="H8" s="1"/>
  <c r="I4"/>
  <c r="G4"/>
  <c r="H4" s="1"/>
  <c r="I22"/>
  <c r="G22"/>
  <c r="H22" s="1"/>
  <c r="I18"/>
  <c r="G18"/>
  <c r="H18" s="1"/>
  <c r="I14"/>
  <c r="G14"/>
  <c r="H14" s="1"/>
  <c r="I10"/>
  <c r="G10"/>
  <c r="H10"/>
  <c r="I6"/>
  <c r="G6"/>
  <c r="H6" s="1"/>
  <c r="J15" i="1"/>
  <c r="J22"/>
  <c r="J16"/>
  <c r="K22" l="1"/>
  <c r="M22" s="1"/>
  <c r="K23" s="1"/>
  <c r="M23" s="1"/>
  <c r="J26"/>
  <c r="J27" s="1"/>
  <c r="K15"/>
  <c r="K24" l="1"/>
  <c r="M24" s="1"/>
  <c r="K25" s="1"/>
  <c r="M25" s="1"/>
  <c r="L15"/>
  <c r="K16" l="1"/>
  <c r="L16" s="1"/>
  <c r="K17" s="1"/>
  <c r="L17" s="1"/>
  <c r="K18" s="1"/>
  <c r="L18" s="1"/>
  <c r="K26"/>
  <c r="K27" l="1"/>
  <c r="M27" s="1"/>
  <c r="M26"/>
  <c r="K20" l="1"/>
  <c r="L20" s="1"/>
  <c r="K19"/>
  <c r="L19" s="1"/>
  <c r="M37"/>
  <c r="L37" l="1"/>
  <c r="K28" s="1"/>
  <c r="K29" s="1"/>
  <c r="N29" s="1"/>
  <c r="K30" l="1"/>
  <c r="N30" s="1"/>
  <c r="K33"/>
  <c r="K34" s="1"/>
  <c r="N34" s="1"/>
  <c r="N28"/>
  <c r="K31"/>
  <c r="N33" l="1"/>
  <c r="K32"/>
  <c r="N32" s="1"/>
  <c r="N31"/>
  <c r="N37" l="1"/>
  <c r="L38" s="1"/>
</calcChain>
</file>

<file path=xl/sharedStrings.xml><?xml version="1.0" encoding="utf-8"?>
<sst xmlns="http://schemas.openxmlformats.org/spreadsheetml/2006/main" count="124" uniqueCount="60">
  <si>
    <t>0 años</t>
  </si>
  <si>
    <t xml:space="preserve"> año</t>
  </si>
  <si>
    <t>MES LIQUIDADO</t>
  </si>
  <si>
    <t>R</t>
  </si>
  <si>
    <t>NR</t>
  </si>
  <si>
    <t xml:space="preserve"> años</t>
  </si>
  <si>
    <t>CATEGORÍA</t>
  </si>
  <si>
    <t>Vendedor B</t>
  </si>
  <si>
    <t>Maestranza A</t>
  </si>
  <si>
    <t>TIPO JORNADA</t>
  </si>
  <si>
    <t>Maestranza B</t>
  </si>
  <si>
    <t>AFILIADO SINDICATO</t>
  </si>
  <si>
    <t>Si</t>
  </si>
  <si>
    <t>Maestranza C</t>
  </si>
  <si>
    <t>AFILIADO OSECAC</t>
  </si>
  <si>
    <t>Administrativo A</t>
  </si>
  <si>
    <t>ANTIGÜEDAD</t>
  </si>
  <si>
    <t>Administrativo B</t>
  </si>
  <si>
    <t>PRESENTISMO</t>
  </si>
  <si>
    <t>Administrativo C</t>
  </si>
  <si>
    <t>Administrativo D</t>
  </si>
  <si>
    <t>Administrativo E</t>
  </si>
  <si>
    <t>EMPLEADOS DE COMERCIO</t>
  </si>
  <si>
    <t>Base de Cálculo</t>
  </si>
  <si>
    <t>Remunerativo</t>
  </si>
  <si>
    <t>No Remunerativo</t>
  </si>
  <si>
    <t>Descuentos</t>
  </si>
  <si>
    <t>Administrativo F</t>
  </si>
  <si>
    <t>Cajero A</t>
  </si>
  <si>
    <t xml:space="preserve">Sueldo Básico </t>
  </si>
  <si>
    <t>Cajero B</t>
  </si>
  <si>
    <t>Cajero C</t>
  </si>
  <si>
    <t>Auxiliar A</t>
  </si>
  <si>
    <t>Auxiliar B</t>
  </si>
  <si>
    <t>Auxiliar C</t>
  </si>
  <si>
    <t>Auxiliar Esp. A</t>
  </si>
  <si>
    <t>Auxiliar Esp. B</t>
  </si>
  <si>
    <t>Vendedor A</t>
  </si>
  <si>
    <t>Jubilación</t>
  </si>
  <si>
    <t>Ley 19,032</t>
  </si>
  <si>
    <t>Vendedor C</t>
  </si>
  <si>
    <t>Obra Social</t>
  </si>
  <si>
    <t>Vendedor D</t>
  </si>
  <si>
    <t xml:space="preserve">Faecys </t>
  </si>
  <si>
    <t xml:space="preserve">Sindicato </t>
  </si>
  <si>
    <t>TOTALES</t>
  </si>
  <si>
    <t>LIQUIDO A COBRAR</t>
  </si>
  <si>
    <t>días</t>
  </si>
  <si>
    <t xml:space="preserve"> días</t>
  </si>
  <si>
    <t>LIQUIDA VACACIONES</t>
  </si>
  <si>
    <t>Dias de Vaciones</t>
  </si>
  <si>
    <t>&lt; 5 años</t>
  </si>
  <si>
    <t>&lt; 10 años</t>
  </si>
  <si>
    <t>&lt; 20 años</t>
  </si>
  <si>
    <t>&gt;=20 años</t>
  </si>
  <si>
    <t>Feriados</t>
  </si>
  <si>
    <t>Contribucion OSECAC</t>
  </si>
  <si>
    <t>No</t>
  </si>
  <si>
    <t>Jornada Completa</t>
  </si>
  <si>
    <t>10 años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</si>
</sst>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Batang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Batang"/>
      <family val="1"/>
    </font>
    <font>
      <b/>
      <sz val="11"/>
      <name val="Batang"/>
      <family val="1"/>
    </font>
    <font>
      <sz val="11"/>
      <color theme="0"/>
      <name val="Batang"/>
      <family val="1"/>
    </font>
    <font>
      <b/>
      <sz val="11"/>
      <color theme="0"/>
      <name val="Batang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/>
    </xf>
    <xf numFmtId="4" fontId="0" fillId="0" borderId="0" xfId="0" applyNumberFormat="1"/>
    <xf numFmtId="0" fontId="3" fillId="0" borderId="1" xfId="0" applyFont="1" applyBorder="1" applyAlignment="1">
      <alignment horizontal="center" vertical="center"/>
    </xf>
    <xf numFmtId="17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/>
    <xf numFmtId="0" fontId="3" fillId="0" borderId="0" xfId="0" applyFont="1" applyBorder="1" applyAlignment="1"/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4" fontId="6" fillId="0" borderId="14" xfId="0" applyNumberFormat="1" applyFont="1" applyBorder="1" applyAlignment="1">
      <alignment horizontal="right"/>
    </xf>
    <xf numFmtId="4" fontId="6" fillId="0" borderId="14" xfId="0" applyNumberFormat="1" applyFont="1" applyBorder="1"/>
    <xf numFmtId="4" fontId="6" fillId="0" borderId="13" xfId="0" applyNumberFormat="1" applyFont="1" applyBorder="1"/>
    <xf numFmtId="10" fontId="6" fillId="0" borderId="17" xfId="0" applyNumberFormat="1" applyFont="1" applyBorder="1" applyAlignment="1">
      <alignment horizontal="center"/>
    </xf>
    <xf numFmtId="4" fontId="6" fillId="0" borderId="16" xfId="0" applyNumberFormat="1" applyFont="1" applyBorder="1" applyAlignment="1">
      <alignment horizontal="right"/>
    </xf>
    <xf numFmtId="4" fontId="6" fillId="0" borderId="18" xfId="0" applyNumberFormat="1" applyFont="1" applyBorder="1"/>
    <xf numFmtId="4" fontId="6" fillId="0" borderId="17" xfId="0" applyNumberFormat="1" applyFont="1" applyBorder="1"/>
    <xf numFmtId="0" fontId="6" fillId="0" borderId="17" xfId="0" applyFont="1" applyBorder="1" applyAlignment="1">
      <alignment horizontal="center"/>
    </xf>
    <xf numFmtId="9" fontId="6" fillId="0" borderId="17" xfId="0" applyNumberFormat="1" applyFont="1" applyBorder="1" applyAlignment="1">
      <alignment horizontal="center"/>
    </xf>
    <xf numFmtId="4" fontId="7" fillId="0" borderId="22" xfId="0" applyNumberFormat="1" applyFont="1" applyBorder="1"/>
    <xf numFmtId="4" fontId="7" fillId="0" borderId="1" xfId="0" applyNumberFormat="1" applyFont="1" applyBorder="1"/>
    <xf numFmtId="4" fontId="8" fillId="0" borderId="16" xfId="0" applyNumberFormat="1" applyFont="1" applyBorder="1" applyAlignment="1">
      <alignment horizontal="right"/>
    </xf>
    <xf numFmtId="4" fontId="8" fillId="0" borderId="18" xfId="0" applyNumberFormat="1" applyFont="1" applyBorder="1"/>
    <xf numFmtId="4" fontId="8" fillId="0" borderId="17" xfId="0" applyNumberFormat="1" applyFont="1" applyBorder="1"/>
    <xf numFmtId="9" fontId="8" fillId="0" borderId="17" xfId="0" applyNumberFormat="1" applyFont="1" applyBorder="1" applyAlignment="1">
      <alignment horizontal="center"/>
    </xf>
    <xf numFmtId="0" fontId="0" fillId="4" borderId="0" xfId="0" applyFill="1"/>
    <xf numFmtId="0" fontId="2" fillId="4" borderId="23" xfId="0" applyFont="1" applyFill="1" applyBorder="1"/>
    <xf numFmtId="17" fontId="2" fillId="4" borderId="23" xfId="0" applyNumberFormat="1" applyFont="1" applyFill="1" applyBorder="1" applyAlignment="1">
      <alignment horizontal="center"/>
    </xf>
    <xf numFmtId="4" fontId="2" fillId="4" borderId="23" xfId="0" applyNumberFormat="1" applyFont="1" applyFill="1" applyBorder="1" applyAlignment="1"/>
    <xf numFmtId="0" fontId="0" fillId="4" borderId="23" xfId="0" applyFill="1" applyBorder="1" applyAlignment="1">
      <alignment horizontal="center"/>
    </xf>
    <xf numFmtId="0" fontId="1" fillId="0" borderId="0" xfId="0" applyFont="1" applyAlignment="1">
      <alignment vertical="center"/>
    </xf>
    <xf numFmtId="4" fontId="1" fillId="0" borderId="0" xfId="0" applyNumberFormat="1" applyFont="1" applyAlignment="1">
      <alignment horizontal="center"/>
    </xf>
    <xf numFmtId="17" fontId="0" fillId="4" borderId="23" xfId="0" applyNumberFormat="1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2" fillId="0" borderId="0" xfId="0" applyFont="1"/>
    <xf numFmtId="17" fontId="2" fillId="0" borderId="0" xfId="0" applyNumberFormat="1" applyFont="1"/>
    <xf numFmtId="0" fontId="2" fillId="0" borderId="0" xfId="0" applyFont="1" applyAlignment="1">
      <alignment vertical="center"/>
    </xf>
    <xf numFmtId="4" fontId="2" fillId="0" borderId="0" xfId="0" applyNumberFormat="1" applyFont="1" applyAlignment="1">
      <alignment horizontal="center"/>
    </xf>
    <xf numFmtId="0" fontId="2" fillId="4" borderId="0" xfId="0" applyFont="1" applyFill="1"/>
    <xf numFmtId="4" fontId="2" fillId="0" borderId="0" xfId="0" applyNumberFormat="1" applyFont="1"/>
    <xf numFmtId="0" fontId="6" fillId="0" borderId="15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4" fontId="6" fillId="0" borderId="11" xfId="0" applyNumberFormat="1" applyFont="1" applyBorder="1"/>
    <xf numFmtId="4" fontId="6" fillId="0" borderId="15" xfId="0" applyNumberFormat="1" applyFont="1" applyBorder="1"/>
    <xf numFmtId="4" fontId="6" fillId="0" borderId="24" xfId="0" applyNumberFormat="1" applyFont="1" applyBorder="1"/>
    <xf numFmtId="4" fontId="8" fillId="0" borderId="25" xfId="0" applyNumberFormat="1" applyFont="1" applyBorder="1"/>
    <xf numFmtId="4" fontId="6" fillId="0" borderId="26" xfId="0" applyNumberFormat="1" applyFont="1" applyBorder="1"/>
    <xf numFmtId="0" fontId="6" fillId="0" borderId="15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17" fontId="2" fillId="0" borderId="0" xfId="0" applyNumberFormat="1" applyFont="1" applyAlignment="1">
      <alignment vertical="center"/>
    </xf>
    <xf numFmtId="0" fontId="7" fillId="0" borderId="6" xfId="0" applyFont="1" applyFill="1" applyBorder="1" applyAlignment="1">
      <alignment horizontal="center" wrapText="1"/>
    </xf>
    <xf numFmtId="0" fontId="3" fillId="0" borderId="10" xfId="0" applyFont="1" applyFill="1" applyBorder="1" applyAlignment="1">
      <alignment horizontal="center" wrapText="1"/>
    </xf>
    <xf numFmtId="4" fontId="7" fillId="0" borderId="6" xfId="0" applyNumberFormat="1" applyFont="1" applyBorder="1" applyAlignment="1">
      <alignment horizontal="center" vertical="center" wrapText="1"/>
    </xf>
    <xf numFmtId="4" fontId="3" fillId="0" borderId="10" xfId="0" applyNumberFormat="1" applyFont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4" fontId="7" fillId="0" borderId="19" xfId="0" applyNumberFormat="1" applyFont="1" applyBorder="1" applyAlignment="1">
      <alignment horizontal="center"/>
    </xf>
    <xf numFmtId="4" fontId="7" fillId="0" borderId="20" xfId="0" applyNumberFormat="1" applyFont="1" applyBorder="1" applyAlignment="1">
      <alignment horizontal="center"/>
    </xf>
    <xf numFmtId="4" fontId="7" fillId="0" borderId="21" xfId="0" applyNumberFormat="1" applyFont="1" applyBorder="1" applyAlignment="1">
      <alignment horizontal="center"/>
    </xf>
    <xf numFmtId="0" fontId="8" fillId="0" borderId="15" xfId="0" applyFont="1" applyBorder="1" applyAlignment="1">
      <alignment horizontal="left"/>
    </xf>
    <xf numFmtId="0" fontId="8" fillId="0" borderId="16" xfId="0" applyFont="1" applyBorder="1" applyAlignment="1">
      <alignment horizontal="left"/>
    </xf>
    <xf numFmtId="0" fontId="0" fillId="4" borderId="23" xfId="0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0</xdr:row>
      <xdr:rowOff>66675</xdr:rowOff>
    </xdr:from>
    <xdr:to>
      <xdr:col>13</xdr:col>
      <xdr:colOff>170625</xdr:colOff>
      <xdr:row>10</xdr:row>
      <xdr:rowOff>10425</xdr:rowOff>
    </xdr:to>
    <xdr:pic>
      <xdr:nvPicPr>
        <xdr:cNvPr id="2" name="Picture 37" descr="http://www.cdormarcosfelice.com.ar/wp-content/uploads/2015/10/bannerfans_16573739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48400" y="66675"/>
          <a:ext cx="2332800" cy="19440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 filterMode="1">
    <pageSetUpPr fitToPage="1"/>
  </sheetPr>
  <dimension ref="A1:AE49"/>
  <sheetViews>
    <sheetView showGridLines="0" tabSelected="1" topLeftCell="G6" workbookViewId="0">
      <selection activeCell="L29" sqref="L29"/>
    </sheetView>
  </sheetViews>
  <sheetFormatPr baseColWidth="10" defaultRowHeight="15"/>
  <cols>
    <col min="1" max="1" width="3" style="11" hidden="1" customWidth="1"/>
    <col min="2" max="2" width="5.5703125" style="11" hidden="1" customWidth="1"/>
    <col min="3" max="3" width="7.5703125" style="11" hidden="1" customWidth="1"/>
    <col min="4" max="6" width="3" style="11" hidden="1" customWidth="1"/>
    <col min="7" max="7" width="3" customWidth="1"/>
    <col min="8" max="8" width="28.85546875" customWidth="1"/>
    <col min="9" max="9" width="35.140625" customWidth="1"/>
    <col min="10" max="10" width="12.7109375" style="1" bestFit="1" customWidth="1"/>
    <col min="11" max="11" width="13.85546875" style="1" bestFit="1" customWidth="1"/>
    <col min="12" max="13" width="16.28515625" style="2" customWidth="1"/>
    <col min="14" max="14" width="14.7109375" style="2" customWidth="1"/>
    <col min="15" max="15" width="11.85546875" style="11" bestFit="1" customWidth="1"/>
    <col min="16" max="16" width="11.42578125" style="42" customWidth="1"/>
    <col min="17" max="17" width="15.85546875" style="42" hidden="1" customWidth="1"/>
    <col min="18" max="26" width="11.42578125" style="42" hidden="1" customWidth="1"/>
    <col min="27" max="27" width="11.42578125" style="42" customWidth="1"/>
    <col min="28" max="28" width="11.42578125" style="42"/>
    <col min="29" max="31" width="11.42578125" style="14"/>
  </cols>
  <sheetData>
    <row r="1" spans="1:31" ht="15.75" thickBot="1">
      <c r="A1" s="11">
        <v>0</v>
      </c>
      <c r="C1" s="11" t="s">
        <v>0</v>
      </c>
      <c r="D1" s="11">
        <f>+A1</f>
        <v>0</v>
      </c>
      <c r="E1" s="11">
        <v>0</v>
      </c>
      <c r="Q1" s="42">
        <f>+Tablas!A1</f>
        <v>0</v>
      </c>
      <c r="R1" s="43">
        <f>+Tablas!B1</f>
        <v>42309</v>
      </c>
      <c r="S1" s="43">
        <f>+Tablas!C1</f>
        <v>42461</v>
      </c>
      <c r="T1" s="43">
        <f>+Tablas!D1</f>
        <v>42644</v>
      </c>
      <c r="U1" s="43">
        <f>+Tablas!E1</f>
        <v>42736</v>
      </c>
      <c r="W1" s="43">
        <v>42736</v>
      </c>
      <c r="X1" s="42">
        <v>1</v>
      </c>
    </row>
    <row r="2" spans="1:31" ht="15.75" thickBot="1">
      <c r="A2" s="11">
        <v>1</v>
      </c>
      <c r="B2" s="11" t="s">
        <v>1</v>
      </c>
      <c r="C2" s="11" t="str">
        <f>A2&amp;B2</f>
        <v>1 año</v>
      </c>
      <c r="D2" s="11">
        <f t="shared" ref="D2:D9" si="0">+A2</f>
        <v>1</v>
      </c>
      <c r="E2" s="11">
        <v>14</v>
      </c>
      <c r="F2" s="11" t="s">
        <v>48</v>
      </c>
      <c r="H2" s="3" t="s">
        <v>2</v>
      </c>
      <c r="I2" s="4">
        <v>43040</v>
      </c>
      <c r="J2" s="81">
        <f>VLOOKUP(I2,W1:X11,2,FALSE)</f>
        <v>11</v>
      </c>
      <c r="K2"/>
      <c r="L2" s="6"/>
      <c r="M2" s="6"/>
      <c r="N2" s="6"/>
      <c r="Q2" s="10">
        <f>+Tablas!A2</f>
        <v>0</v>
      </c>
      <c r="R2" s="10" t="str">
        <f>+Tablas!B2</f>
        <v>R</v>
      </c>
      <c r="S2" s="10" t="str">
        <f>+Tablas!C2</f>
        <v>R</v>
      </c>
      <c r="T2" s="10" t="str">
        <f>+Tablas!D2</f>
        <v>NR</v>
      </c>
      <c r="U2" s="10" t="str">
        <f>+Tablas!E2</f>
        <v>R</v>
      </c>
      <c r="W2" s="57">
        <v>42767</v>
      </c>
      <c r="X2" s="42">
        <v>2</v>
      </c>
    </row>
    <row r="3" spans="1:31" s="7" customFormat="1" ht="15.75" thickBot="1">
      <c r="A3" s="38">
        <v>2</v>
      </c>
      <c r="B3" s="38" t="s">
        <v>5</v>
      </c>
      <c r="C3" s="11" t="str">
        <f t="shared" ref="C3:C9" si="1">A3&amp;B3</f>
        <v>2 años</v>
      </c>
      <c r="D3" s="11">
        <f t="shared" si="0"/>
        <v>2</v>
      </c>
      <c r="E3" s="11">
        <v>14</v>
      </c>
      <c r="F3" s="11" t="s">
        <v>47</v>
      </c>
      <c r="G3"/>
      <c r="H3" s="3" t="s">
        <v>6</v>
      </c>
      <c r="I3" s="8" t="s">
        <v>37</v>
      </c>
      <c r="J3" s="5"/>
      <c r="K3" s="6"/>
      <c r="L3" s="6"/>
      <c r="M3" s="6"/>
      <c r="N3" s="6"/>
      <c r="O3" s="38"/>
      <c r="P3" s="44"/>
      <c r="Q3" s="42" t="str">
        <f>+Tablas!A3</f>
        <v>Maestranza A</v>
      </c>
      <c r="R3" s="45">
        <f>+Tablas!B3</f>
        <v>10754.81</v>
      </c>
      <c r="S3" s="45">
        <f>+Tablas!C3</f>
        <v>12905.771999999999</v>
      </c>
      <c r="T3" s="45">
        <f>+Tablas!D3</f>
        <v>1290.5771999999999</v>
      </c>
      <c r="U3" s="45">
        <f>+Tablas!E3</f>
        <v>13658.608699999999</v>
      </c>
      <c r="V3" s="44"/>
      <c r="W3" s="43">
        <v>42795</v>
      </c>
      <c r="X3" s="42">
        <v>3</v>
      </c>
      <c r="Y3" s="44"/>
      <c r="Z3" s="44"/>
      <c r="AA3" s="44"/>
      <c r="AB3" s="44"/>
      <c r="AC3" s="15"/>
      <c r="AD3" s="15"/>
      <c r="AE3" s="15"/>
    </row>
    <row r="4" spans="1:31" ht="15.75" thickBot="1">
      <c r="A4" s="11">
        <v>3</v>
      </c>
      <c r="B4" s="38" t="s">
        <v>5</v>
      </c>
      <c r="C4" s="11" t="str">
        <f t="shared" si="1"/>
        <v>3 años</v>
      </c>
      <c r="D4" s="11">
        <f t="shared" si="0"/>
        <v>3</v>
      </c>
      <c r="E4" s="11">
        <v>14</v>
      </c>
      <c r="F4" s="11" t="s">
        <v>47</v>
      </c>
      <c r="H4" s="9" t="s">
        <v>9</v>
      </c>
      <c r="I4" s="8" t="s">
        <v>58</v>
      </c>
      <c r="J4" s="5"/>
      <c r="K4" s="6"/>
      <c r="L4" s="6"/>
      <c r="M4" s="6"/>
      <c r="N4" s="6"/>
      <c r="Q4" s="42" t="str">
        <f>+Tablas!A4</f>
        <v>Maestranza B</v>
      </c>
      <c r="R4" s="45">
        <f>+Tablas!B4</f>
        <v>10795.52</v>
      </c>
      <c r="S4" s="45">
        <f>+Tablas!C4</f>
        <v>12954.624</v>
      </c>
      <c r="T4" s="45">
        <f>+Tablas!D4</f>
        <v>1295.4624000000001</v>
      </c>
      <c r="U4" s="45">
        <f>+Tablas!E4</f>
        <v>13710.3104</v>
      </c>
      <c r="W4" s="57">
        <v>42826</v>
      </c>
      <c r="X4" s="42">
        <v>4</v>
      </c>
    </row>
    <row r="5" spans="1:31" ht="15.75" thickBot="1">
      <c r="A5" s="11">
        <v>4</v>
      </c>
      <c r="B5" s="38" t="s">
        <v>5</v>
      </c>
      <c r="C5" s="11" t="str">
        <f t="shared" si="1"/>
        <v>4 años</v>
      </c>
      <c r="D5" s="11">
        <f t="shared" si="0"/>
        <v>4</v>
      </c>
      <c r="E5" s="11">
        <v>14</v>
      </c>
      <c r="F5" s="11" t="s">
        <v>47</v>
      </c>
      <c r="H5" s="9" t="s">
        <v>11</v>
      </c>
      <c r="I5" s="8" t="s">
        <v>12</v>
      </c>
      <c r="J5" s="5"/>
      <c r="K5" s="6"/>
      <c r="L5" s="6"/>
      <c r="M5" s="6"/>
      <c r="N5" s="6"/>
      <c r="Q5" s="42" t="str">
        <f>+Tablas!A5</f>
        <v>Maestranza C</v>
      </c>
      <c r="R5" s="45">
        <f>+Tablas!B5</f>
        <v>10938.18</v>
      </c>
      <c r="S5" s="45">
        <f>+Tablas!C5</f>
        <v>13125.816000000001</v>
      </c>
      <c r="T5" s="45">
        <f>+Tablas!D5</f>
        <v>1312.5816</v>
      </c>
      <c r="U5" s="45">
        <f>+Tablas!E5</f>
        <v>13891.488600000001</v>
      </c>
      <c r="W5" s="43">
        <v>42856</v>
      </c>
      <c r="X5" s="42">
        <v>5</v>
      </c>
    </row>
    <row r="6" spans="1:31" ht="15.75" thickBot="1">
      <c r="A6" s="11">
        <v>5</v>
      </c>
      <c r="B6" s="38" t="s">
        <v>5</v>
      </c>
      <c r="C6" s="11" t="str">
        <f t="shared" si="1"/>
        <v>5 años</v>
      </c>
      <c r="D6" s="11">
        <f t="shared" si="0"/>
        <v>5</v>
      </c>
      <c r="E6" s="11">
        <v>21</v>
      </c>
      <c r="F6" s="11" t="s">
        <v>47</v>
      </c>
      <c r="H6" s="9" t="s">
        <v>14</v>
      </c>
      <c r="I6" s="8" t="s">
        <v>12</v>
      </c>
      <c r="J6" s="5"/>
      <c r="K6" s="6"/>
      <c r="L6" s="6"/>
      <c r="M6" s="6"/>
      <c r="N6" s="6"/>
      <c r="Q6" s="42" t="str">
        <f>+Tablas!A6</f>
        <v>Administrativo A</v>
      </c>
      <c r="R6" s="45">
        <f>+Tablas!B6</f>
        <v>10907.6</v>
      </c>
      <c r="S6" s="45">
        <f>+Tablas!C6</f>
        <v>13089.12</v>
      </c>
      <c r="T6" s="45">
        <f>+Tablas!D6</f>
        <v>1308.912</v>
      </c>
      <c r="U6" s="45">
        <f>+Tablas!E6</f>
        <v>13852.652</v>
      </c>
      <c r="W6" s="57">
        <v>42887</v>
      </c>
      <c r="X6" s="42">
        <v>6</v>
      </c>
    </row>
    <row r="7" spans="1:31" s="1" customFormat="1" ht="15.75" customHeight="1" thickBot="1">
      <c r="A7" s="11">
        <v>6</v>
      </c>
      <c r="B7" s="38" t="s">
        <v>5</v>
      </c>
      <c r="C7" s="11" t="str">
        <f t="shared" si="1"/>
        <v>6 años</v>
      </c>
      <c r="D7" s="11">
        <f t="shared" si="0"/>
        <v>6</v>
      </c>
      <c r="E7" s="11">
        <v>21</v>
      </c>
      <c r="F7" s="11" t="s">
        <v>47</v>
      </c>
      <c r="G7"/>
      <c r="H7" s="9" t="s">
        <v>16</v>
      </c>
      <c r="I7" s="8" t="s">
        <v>59</v>
      </c>
      <c r="J7" s="10"/>
      <c r="K7" s="6"/>
      <c r="L7" s="6"/>
      <c r="M7" s="6"/>
      <c r="N7" s="6"/>
      <c r="O7" s="12"/>
      <c r="P7" s="10"/>
      <c r="Q7" s="42" t="str">
        <f>+Tablas!A7</f>
        <v>Administrativo B</v>
      </c>
      <c r="R7" s="45">
        <f>+Tablas!B7</f>
        <v>10968.75</v>
      </c>
      <c r="S7" s="45">
        <f>+Tablas!C7</f>
        <v>13162.5</v>
      </c>
      <c r="T7" s="45">
        <f>+Tablas!D7</f>
        <v>1316.25</v>
      </c>
      <c r="U7" s="45">
        <f>+Tablas!E7</f>
        <v>13930.3125</v>
      </c>
      <c r="V7" s="10"/>
      <c r="W7" s="43">
        <v>42917</v>
      </c>
      <c r="X7" s="42">
        <v>7</v>
      </c>
      <c r="Y7" s="10"/>
      <c r="Z7" s="10"/>
      <c r="AA7" s="10"/>
      <c r="AB7" s="10"/>
      <c r="AC7" s="16"/>
      <c r="AD7" s="16"/>
      <c r="AE7" s="16"/>
    </row>
    <row r="8" spans="1:31" ht="15.75" thickBot="1">
      <c r="A8" s="38">
        <v>7</v>
      </c>
      <c r="B8" s="38" t="s">
        <v>5</v>
      </c>
      <c r="C8" s="11" t="str">
        <f t="shared" si="1"/>
        <v>7 años</v>
      </c>
      <c r="D8" s="11">
        <f t="shared" si="0"/>
        <v>7</v>
      </c>
      <c r="E8" s="11">
        <v>21</v>
      </c>
      <c r="F8" s="11" t="s">
        <v>47</v>
      </c>
      <c r="H8" s="9" t="s">
        <v>18</v>
      </c>
      <c r="I8" s="8" t="s">
        <v>12</v>
      </c>
      <c r="J8" s="10"/>
      <c r="K8" s="6"/>
      <c r="L8" s="6"/>
      <c r="M8" s="6"/>
      <c r="N8" s="6"/>
      <c r="Q8" s="42" t="str">
        <f>+Tablas!A8</f>
        <v>Administrativo C</v>
      </c>
      <c r="R8" s="45">
        <f>+Tablas!B8</f>
        <v>11029.78</v>
      </c>
      <c r="S8" s="45">
        <f>+Tablas!C8</f>
        <v>13235.736000000001</v>
      </c>
      <c r="T8" s="45">
        <f>+Tablas!D8</f>
        <v>1323.5735999999999</v>
      </c>
      <c r="U8" s="45">
        <f>+Tablas!E8</f>
        <v>14007.820600000001</v>
      </c>
      <c r="W8" s="57">
        <v>42948</v>
      </c>
      <c r="X8" s="42">
        <v>8</v>
      </c>
    </row>
    <row r="9" spans="1:31" ht="15.75" thickBot="1">
      <c r="A9" s="11">
        <v>8</v>
      </c>
      <c r="B9" s="38" t="s">
        <v>5</v>
      </c>
      <c r="C9" s="11" t="str">
        <f t="shared" si="1"/>
        <v>8 años</v>
      </c>
      <c r="D9" s="11">
        <f t="shared" si="0"/>
        <v>8</v>
      </c>
      <c r="E9" s="11">
        <v>21</v>
      </c>
      <c r="F9" s="11" t="s">
        <v>47</v>
      </c>
      <c r="H9" s="9" t="s">
        <v>49</v>
      </c>
      <c r="I9" s="8" t="s">
        <v>57</v>
      </c>
      <c r="J9" s="12"/>
      <c r="K9" s="12"/>
      <c r="L9" s="13"/>
      <c r="M9" s="13"/>
      <c r="N9" s="13"/>
      <c r="Q9" s="42" t="str">
        <f>+Tablas!A9</f>
        <v>Administrativo D</v>
      </c>
      <c r="R9" s="45">
        <f>+Tablas!B9</f>
        <v>11213.2</v>
      </c>
      <c r="S9" s="45">
        <f>+Tablas!C9</f>
        <v>13455.84</v>
      </c>
      <c r="T9" s="45">
        <f>+Tablas!D9</f>
        <v>1345.5840000000001</v>
      </c>
      <c r="U9" s="45">
        <f>+Tablas!E9</f>
        <v>14240.764000000001</v>
      </c>
      <c r="W9" s="43">
        <v>42979</v>
      </c>
      <c r="X9" s="42">
        <v>9</v>
      </c>
    </row>
    <row r="10" spans="1:31" ht="15.75" thickBot="1">
      <c r="A10" s="11">
        <v>9</v>
      </c>
      <c r="B10" s="38" t="s">
        <v>5</v>
      </c>
      <c r="C10" s="11" t="str">
        <f t="shared" ref="C10:C31" si="2">A10&amp;B10</f>
        <v>9 años</v>
      </c>
      <c r="D10" s="11">
        <f t="shared" ref="D10:D31" si="3">+A10</f>
        <v>9</v>
      </c>
      <c r="E10" s="11">
        <v>21</v>
      </c>
      <c r="F10" s="11" t="s">
        <v>47</v>
      </c>
      <c r="H10" s="9" t="str">
        <f>IF(I9="SI","DIAS DE VACACIONES","")</f>
        <v/>
      </c>
      <c r="I10" s="8">
        <v>14</v>
      </c>
      <c r="J10" s="12"/>
      <c r="K10" s="12"/>
      <c r="L10" s="13"/>
      <c r="M10" s="13"/>
      <c r="N10" s="13"/>
      <c r="Q10" s="42" t="str">
        <f>+Tablas!A10</f>
        <v>Administrativo E</v>
      </c>
      <c r="R10" s="45">
        <f>+Tablas!B10</f>
        <v>11366.03</v>
      </c>
      <c r="S10" s="45">
        <f>+Tablas!C10</f>
        <v>13639.236000000001</v>
      </c>
      <c r="T10" s="45">
        <f>+Tablas!D10</f>
        <v>1363.9236000000001</v>
      </c>
      <c r="U10" s="45">
        <f>+Tablas!E10</f>
        <v>14434.858100000001</v>
      </c>
      <c r="W10" s="57">
        <v>43009</v>
      </c>
      <c r="X10" s="42">
        <v>10</v>
      </c>
    </row>
    <row r="11" spans="1:31" ht="5.25" customHeight="1" thickBot="1">
      <c r="A11" s="11">
        <v>10</v>
      </c>
      <c r="B11" s="38" t="s">
        <v>5</v>
      </c>
      <c r="C11" s="11" t="str">
        <f t="shared" si="2"/>
        <v>10 años</v>
      </c>
      <c r="D11" s="11">
        <f t="shared" si="3"/>
        <v>10</v>
      </c>
      <c r="E11" s="11">
        <v>28</v>
      </c>
      <c r="F11" s="11" t="s">
        <v>47</v>
      </c>
      <c r="H11" s="11"/>
      <c r="I11" s="11"/>
      <c r="J11" s="12"/>
      <c r="K11" s="12"/>
      <c r="L11" s="13"/>
      <c r="M11" s="13"/>
      <c r="N11" s="13"/>
      <c r="Q11" s="42" t="str">
        <f>+Tablas!A11</f>
        <v>Administrativo F</v>
      </c>
      <c r="R11" s="45">
        <f>+Tablas!B11</f>
        <v>11590.15</v>
      </c>
      <c r="S11" s="45">
        <f>+Tablas!C11</f>
        <v>13908.179999999998</v>
      </c>
      <c r="T11" s="45">
        <f>+Tablas!D11</f>
        <v>1390.818</v>
      </c>
      <c r="U11" s="45">
        <f>+Tablas!E11</f>
        <v>14719.4905</v>
      </c>
      <c r="W11" s="43">
        <v>43040</v>
      </c>
      <c r="X11" s="42">
        <v>11</v>
      </c>
    </row>
    <row r="12" spans="1:31" ht="31.5" customHeight="1" thickBot="1">
      <c r="A12" s="11">
        <v>11</v>
      </c>
      <c r="B12" s="38" t="s">
        <v>5</v>
      </c>
      <c r="C12" s="11" t="str">
        <f t="shared" si="2"/>
        <v>11 años</v>
      </c>
      <c r="D12" s="11">
        <f t="shared" si="3"/>
        <v>11</v>
      </c>
      <c r="E12" s="11">
        <v>28</v>
      </c>
      <c r="F12" s="11" t="s">
        <v>47</v>
      </c>
      <c r="H12" s="62" t="s">
        <v>22</v>
      </c>
      <c r="I12" s="63"/>
      <c r="J12" s="64"/>
      <c r="K12" s="58" t="s">
        <v>23</v>
      </c>
      <c r="L12" s="60" t="s">
        <v>24</v>
      </c>
      <c r="M12" s="60" t="s">
        <v>25</v>
      </c>
      <c r="N12" s="60" t="s">
        <v>26</v>
      </c>
      <c r="Q12" s="42" t="str">
        <f>+Tablas!A12</f>
        <v>Cajero A</v>
      </c>
      <c r="R12" s="45">
        <f>+Tablas!B12</f>
        <v>10958.52</v>
      </c>
      <c r="S12" s="45">
        <f>+Tablas!C12</f>
        <v>13150.224</v>
      </c>
      <c r="T12" s="45">
        <f>+Tablas!D12</f>
        <v>1315.0224000000001</v>
      </c>
      <c r="U12" s="45">
        <f>+Tablas!E12</f>
        <v>13917.320400000001</v>
      </c>
      <c r="W12" s="57">
        <v>43070</v>
      </c>
      <c r="X12" s="42">
        <v>12</v>
      </c>
    </row>
    <row r="13" spans="1:31" ht="15.75" hidden="1" thickBot="1">
      <c r="A13" s="38">
        <v>12</v>
      </c>
      <c r="B13" s="38" t="s">
        <v>5</v>
      </c>
      <c r="C13" s="11" t="str">
        <f t="shared" si="2"/>
        <v>12 años</v>
      </c>
      <c r="D13" s="11">
        <f t="shared" si="3"/>
        <v>12</v>
      </c>
      <c r="E13" s="11">
        <v>28</v>
      </c>
      <c r="F13" s="11" t="s">
        <v>47</v>
      </c>
      <c r="H13" s="65"/>
      <c r="I13" s="66"/>
      <c r="J13" s="67"/>
      <c r="K13" s="59"/>
      <c r="L13" s="61"/>
      <c r="M13" s="61"/>
      <c r="N13" s="61"/>
      <c r="P13" s="11"/>
      <c r="Q13" s="11" t="str">
        <f>+Tablas!A13</f>
        <v>Cajero B</v>
      </c>
      <c r="R13" s="39">
        <f>+Tablas!B13</f>
        <v>11029.78</v>
      </c>
      <c r="S13" s="39">
        <f>+Tablas!C13</f>
        <v>13235.736000000001</v>
      </c>
      <c r="T13" s="39">
        <f>+Tablas!D13</f>
        <v>1323.5735999999999</v>
      </c>
      <c r="U13" s="39">
        <f>+Tablas!E13</f>
        <v>14007.820600000001</v>
      </c>
      <c r="V13" s="11"/>
      <c r="X13" s="11"/>
      <c r="Y13" s="11"/>
      <c r="Z13" s="11"/>
      <c r="AA13" s="11"/>
      <c r="AB13" s="11"/>
    </row>
    <row r="14" spans="1:31">
      <c r="A14" s="11">
        <v>13</v>
      </c>
      <c r="B14" s="38" t="s">
        <v>5</v>
      </c>
      <c r="C14" s="11" t="str">
        <f t="shared" si="2"/>
        <v>13 años</v>
      </c>
      <c r="D14" s="11">
        <f t="shared" si="3"/>
        <v>13</v>
      </c>
      <c r="E14" s="11">
        <v>28</v>
      </c>
      <c r="F14" s="11" t="s">
        <v>47</v>
      </c>
      <c r="H14" s="70" t="s">
        <v>29</v>
      </c>
      <c r="I14" s="71"/>
      <c r="J14" s="17">
        <v>30</v>
      </c>
      <c r="K14" s="18">
        <f>IF(J2=10,IF(I4="jornada completa",VLOOKUP(I3,Tablas!$A$1:$I$23,8,FALSE),VLOOKUP(I3,Tablas!$A$1:$I$23,8,FALSE)/2),IF(I4="jornada completa",VLOOKUP(I3,Tablas!$A$1:$J$23,10,FALSE),VLOOKUP(I3,Tablas!$A$1:$J$23,10,FALSE)/2))</f>
        <v>18278.81136</v>
      </c>
      <c r="L14" s="19">
        <f>+K14/30*J14</f>
        <v>18278.81136</v>
      </c>
      <c r="M14" s="50"/>
      <c r="N14" s="20"/>
      <c r="Q14" s="42" t="str">
        <f>+Tablas!A14</f>
        <v>Cajero C</v>
      </c>
      <c r="R14" s="45">
        <f>+Tablas!B14</f>
        <v>11121.53</v>
      </c>
      <c r="S14" s="45">
        <f>+Tablas!C14</f>
        <v>13345.836000000001</v>
      </c>
      <c r="T14" s="45">
        <f>+Tablas!D14</f>
        <v>1334.5835999999999</v>
      </c>
      <c r="U14" s="45">
        <f>+Tablas!E14</f>
        <v>14124.343100000002</v>
      </c>
      <c r="W14" s="42">
        <v>1</v>
      </c>
      <c r="X14" s="42">
        <v>1</v>
      </c>
      <c r="Y14" s="42">
        <v>1</v>
      </c>
      <c r="Z14" s="42">
        <v>1</v>
      </c>
    </row>
    <row r="15" spans="1:31">
      <c r="A15" s="11">
        <v>14</v>
      </c>
      <c r="B15" s="38" t="s">
        <v>5</v>
      </c>
      <c r="C15" s="11" t="str">
        <f t="shared" si="2"/>
        <v>14 años</v>
      </c>
      <c r="D15" s="11">
        <f t="shared" si="3"/>
        <v>14</v>
      </c>
      <c r="E15" s="11">
        <v>28</v>
      </c>
      <c r="F15" s="11" t="s">
        <v>47</v>
      </c>
      <c r="H15" s="68" t="str">
        <f>IF(I7="0 años","","Antigüedad")</f>
        <v>Antigüedad</v>
      </c>
      <c r="I15" s="69"/>
      <c r="J15" s="21">
        <f>IF(H15="",0,VLOOKUP($I$7,$C$1:$D$31,2,FALSE)*0.01)</f>
        <v>0.1</v>
      </c>
      <c r="K15" s="22">
        <f>+L14</f>
        <v>18278.81136</v>
      </c>
      <c r="L15" s="23">
        <f>IF(H15="",0,+K15*J15)</f>
        <v>1827.881136</v>
      </c>
      <c r="M15" s="51"/>
      <c r="N15" s="24"/>
      <c r="Q15" s="42" t="str">
        <f>+Tablas!A15</f>
        <v>Auxiliar A</v>
      </c>
      <c r="R15" s="45">
        <f>+Tablas!B15</f>
        <v>10958.54</v>
      </c>
      <c r="S15" s="45">
        <f>+Tablas!C15</f>
        <v>13150.248000000001</v>
      </c>
      <c r="T15" s="45">
        <f>+Tablas!D15</f>
        <v>1315.0248000000001</v>
      </c>
      <c r="U15" s="45">
        <f>+Tablas!E15</f>
        <v>13917.345800000001</v>
      </c>
      <c r="W15" s="42">
        <v>2</v>
      </c>
      <c r="X15" s="42">
        <v>2</v>
      </c>
      <c r="Y15" s="42">
        <v>2</v>
      </c>
      <c r="Z15" s="42">
        <v>2</v>
      </c>
    </row>
    <row r="16" spans="1:31">
      <c r="A16" s="11">
        <v>15</v>
      </c>
      <c r="B16" s="38" t="s">
        <v>5</v>
      </c>
      <c r="C16" s="11" t="str">
        <f t="shared" si="2"/>
        <v>15 años</v>
      </c>
      <c r="D16" s="11">
        <f t="shared" si="3"/>
        <v>15</v>
      </c>
      <c r="E16" s="11">
        <v>28</v>
      </c>
      <c r="F16" s="11" t="s">
        <v>47</v>
      </c>
      <c r="H16" s="68" t="str">
        <f>IF(I8="NO","","Presentismo")</f>
        <v>Presentismo</v>
      </c>
      <c r="I16" s="69"/>
      <c r="J16" s="25">
        <f>IF(H16="","",IF($I$8="SI",1/12,0))</f>
        <v>8.3333333333333329E-2</v>
      </c>
      <c r="K16" s="22">
        <f>IF(H16="","",+(L14+L15))</f>
        <v>20106.692496</v>
      </c>
      <c r="L16" s="23">
        <f>IF(H16="",0,+K16*J16)</f>
        <v>1675.5577079999998</v>
      </c>
      <c r="M16" s="51"/>
      <c r="N16" s="24"/>
      <c r="Q16" s="42" t="str">
        <f>+Tablas!A16</f>
        <v>Auxiliar B</v>
      </c>
      <c r="R16" s="45">
        <f>+Tablas!B16</f>
        <v>11060.42</v>
      </c>
      <c r="S16" s="45">
        <f>+Tablas!C16</f>
        <v>13272.503999999999</v>
      </c>
      <c r="T16" s="45">
        <f>+Tablas!D16</f>
        <v>1327.2503999999999</v>
      </c>
      <c r="U16" s="45">
        <f>+Tablas!E16</f>
        <v>14046.733400000001</v>
      </c>
      <c r="W16" s="42">
        <v>3</v>
      </c>
      <c r="X16" s="42">
        <v>3</v>
      </c>
      <c r="Y16" s="42">
        <v>3</v>
      </c>
      <c r="Z16" s="42">
        <v>3</v>
      </c>
    </row>
    <row r="17" spans="1:26">
      <c r="A17" s="11">
        <v>16</v>
      </c>
      <c r="B17" s="38" t="s">
        <v>5</v>
      </c>
      <c r="C17" s="11" t="str">
        <f t="shared" si="2"/>
        <v>16 años</v>
      </c>
      <c r="D17" s="11">
        <f t="shared" si="3"/>
        <v>16</v>
      </c>
      <c r="E17" s="11">
        <v>28</v>
      </c>
      <c r="F17" s="11" t="s">
        <v>47</v>
      </c>
      <c r="H17" s="68" t="str">
        <f>IF(J17=0,"","Plus Feriado")</f>
        <v>Plus Feriado</v>
      </c>
      <c r="I17" s="69"/>
      <c r="J17" s="25">
        <f>VLOOKUP($I$2,Tablas!$Q$2:$R$13,2,FALSE)</f>
        <v>1</v>
      </c>
      <c r="K17" s="22">
        <f>IF(H17="",0,+(SUM(L14:L16)/25)-(SUM(L14:L16)/30))</f>
        <v>145.21500135999997</v>
      </c>
      <c r="L17" s="23">
        <f>IF(H17="",0,+K17*J17)</f>
        <v>145.21500135999997</v>
      </c>
      <c r="M17" s="51"/>
      <c r="N17" s="24"/>
      <c r="Q17" s="42" t="str">
        <f>+Tablas!A17</f>
        <v>Auxiliar C</v>
      </c>
      <c r="R17" s="45">
        <f>+Tablas!B17</f>
        <v>11396.58</v>
      </c>
      <c r="S17" s="45">
        <f>+Tablas!C17</f>
        <v>13675.895999999999</v>
      </c>
      <c r="T17" s="45">
        <f>+Tablas!D17</f>
        <v>1367.5896</v>
      </c>
      <c r="U17" s="45">
        <f>+Tablas!E17</f>
        <v>14473.6566</v>
      </c>
      <c r="W17" s="42">
        <v>4</v>
      </c>
      <c r="X17" s="42">
        <v>4</v>
      </c>
      <c r="Y17" s="42">
        <v>4</v>
      </c>
      <c r="Z17" s="42">
        <v>4</v>
      </c>
    </row>
    <row r="18" spans="1:26" hidden="1">
      <c r="B18" s="38"/>
      <c r="H18" s="55" t="str">
        <f>IF($J$2=9,"Día del Empleado de Comercio","")</f>
        <v/>
      </c>
      <c r="I18" s="56"/>
      <c r="J18" s="25">
        <f>IF(H18="",0,1)</f>
        <v>0</v>
      </c>
      <c r="K18" s="22">
        <f>IF(H18="",0,+(SUM(L14:L17)/25)-(SUM(L14:L17)/30))</f>
        <v>0</v>
      </c>
      <c r="L18" s="23">
        <f>IF(H18="",0,K18*J18)</f>
        <v>0</v>
      </c>
      <c r="M18" s="51"/>
      <c r="N18" s="24"/>
      <c r="R18" s="45"/>
      <c r="S18" s="45"/>
      <c r="T18" s="45"/>
      <c r="U18" s="45"/>
    </row>
    <row r="19" spans="1:26" hidden="1">
      <c r="A19" s="38">
        <v>17</v>
      </c>
      <c r="B19" s="38" t="s">
        <v>5</v>
      </c>
      <c r="C19" s="11" t="str">
        <f t="shared" si="2"/>
        <v>17 años</v>
      </c>
      <c r="D19" s="11">
        <f t="shared" si="3"/>
        <v>17</v>
      </c>
      <c r="E19" s="11">
        <v>28</v>
      </c>
      <c r="F19" s="11" t="s">
        <v>47</v>
      </c>
      <c r="H19" s="48" t="str">
        <f>IF(I9="SI","Licencia Anual Ordinaria","")</f>
        <v/>
      </c>
      <c r="I19" s="49"/>
      <c r="J19" s="25" t="str">
        <f>IF(I9="SI",+I10,"")</f>
        <v/>
      </c>
      <c r="K19" s="22" t="str">
        <f>IF(H19="","",SUM(L14:L17))</f>
        <v/>
      </c>
      <c r="L19" s="23" t="str">
        <f>IF(H19="","",K19/25*J19)</f>
        <v/>
      </c>
      <c r="M19" s="51"/>
      <c r="N19" s="24"/>
      <c r="P19" s="46">
        <v>35</v>
      </c>
      <c r="Q19" s="42" t="str">
        <f>+Tablas!A18</f>
        <v>Auxiliar Esp. A</v>
      </c>
      <c r="R19" s="45">
        <f>+Tablas!B18</f>
        <v>11080.79</v>
      </c>
      <c r="S19" s="45">
        <f>+Tablas!C18</f>
        <v>13296.948</v>
      </c>
      <c r="T19" s="45">
        <f>+Tablas!D18</f>
        <v>1329.6948</v>
      </c>
      <c r="U19" s="45">
        <f>+Tablas!E18</f>
        <v>14072.603300000001</v>
      </c>
      <c r="W19" s="42">
        <v>5</v>
      </c>
      <c r="X19" s="42">
        <v>5</v>
      </c>
      <c r="Y19" s="42">
        <v>5</v>
      </c>
      <c r="Z19" s="42">
        <v>5</v>
      </c>
    </row>
    <row r="20" spans="1:26" hidden="1">
      <c r="A20" s="11">
        <v>18</v>
      </c>
      <c r="B20" s="38" t="s">
        <v>5</v>
      </c>
      <c r="C20" s="11" t="str">
        <f t="shared" si="2"/>
        <v>18 años</v>
      </c>
      <c r="D20" s="11">
        <f t="shared" si="3"/>
        <v>18</v>
      </c>
      <c r="E20" s="11">
        <v>28</v>
      </c>
      <c r="F20" s="11" t="s">
        <v>47</v>
      </c>
      <c r="H20" s="48" t="str">
        <f>IF(I9="si","Descuento Días Vacaciones","")</f>
        <v/>
      </c>
      <c r="I20" s="49"/>
      <c r="J20" s="25" t="str">
        <f>IF(I9="si",I10,"")</f>
        <v/>
      </c>
      <c r="K20" s="22" t="str">
        <f>IF(I9="si",SUM(L14:L17),"")</f>
        <v/>
      </c>
      <c r="L20" s="23" t="str">
        <f>IF(H20="","",-K20/30*J20)</f>
        <v/>
      </c>
      <c r="M20" s="52"/>
      <c r="N20" s="24"/>
      <c r="Q20" s="42" t="str">
        <f>+Tablas!A19</f>
        <v>Auxiliar Esp. B</v>
      </c>
      <c r="R20" s="45">
        <f>+Tablas!B19</f>
        <v>11264.15</v>
      </c>
      <c r="S20" s="45">
        <f>+Tablas!C19</f>
        <v>13516.98</v>
      </c>
      <c r="T20" s="45">
        <f>+Tablas!D19</f>
        <v>1351.6979999999999</v>
      </c>
      <c r="U20" s="45">
        <f>+Tablas!E19</f>
        <v>14305.470499999999</v>
      </c>
      <c r="W20" s="42">
        <v>6</v>
      </c>
      <c r="X20" s="42">
        <v>6</v>
      </c>
      <c r="Y20" s="42">
        <v>6</v>
      </c>
      <c r="Z20" s="42">
        <v>6</v>
      </c>
    </row>
    <row r="21" spans="1:26" hidden="1">
      <c r="A21" s="11">
        <v>19</v>
      </c>
      <c r="B21" s="38" t="s">
        <v>5</v>
      </c>
      <c r="C21" s="11" t="str">
        <f t="shared" si="2"/>
        <v>19 años</v>
      </c>
      <c r="D21" s="11">
        <f t="shared" si="3"/>
        <v>19</v>
      </c>
      <c r="E21" s="11">
        <v>28</v>
      </c>
      <c r="F21" s="11" t="s">
        <v>47</v>
      </c>
      <c r="H21" s="68" t="str">
        <f>IF(J2=10,"Acuerdo Abril 2017","")</f>
        <v/>
      </c>
      <c r="I21" s="69"/>
      <c r="J21" s="25">
        <f>+J14</f>
        <v>30</v>
      </c>
      <c r="K21" s="22">
        <f>IF(J2=10,IF(I4="jornada completa",VLOOKUP(I3,Tablas!$A$1:$I$23,9,FALSE),VLOOKUP(I3,Tablas!A1:I23,9,FALSE)/2),0)</f>
        <v>0</v>
      </c>
      <c r="L21" s="23"/>
      <c r="M21" s="51">
        <f>+K21/30*J21</f>
        <v>0</v>
      </c>
      <c r="N21" s="24"/>
      <c r="Q21" s="42" t="str">
        <f>+Tablas!A20</f>
        <v>Vendedor A</v>
      </c>
      <c r="R21" s="45">
        <f>+Tablas!B20</f>
        <v>10958.52</v>
      </c>
      <c r="S21" s="45">
        <f>+Tablas!C20</f>
        <v>13150.224</v>
      </c>
      <c r="T21" s="45">
        <f>+Tablas!D20</f>
        <v>1315.0224000000001</v>
      </c>
      <c r="U21" s="45">
        <f>+Tablas!E20</f>
        <v>13917.320400000001</v>
      </c>
      <c r="W21" s="42">
        <v>7</v>
      </c>
      <c r="X21" s="42">
        <v>7</v>
      </c>
      <c r="Y21" s="42">
        <v>7</v>
      </c>
      <c r="Z21" s="42">
        <v>7</v>
      </c>
    </row>
    <row r="22" spans="1:26" hidden="1">
      <c r="A22" s="11">
        <v>20</v>
      </c>
      <c r="B22" s="38" t="s">
        <v>5</v>
      </c>
      <c r="C22" s="11" t="str">
        <f t="shared" si="2"/>
        <v>20 años</v>
      </c>
      <c r="D22" s="11">
        <f t="shared" si="3"/>
        <v>20</v>
      </c>
      <c r="E22" s="11">
        <v>35</v>
      </c>
      <c r="F22" s="11" t="s">
        <v>47</v>
      </c>
      <c r="H22" s="68" t="str">
        <f>IF(J2=10,IF(H15="","","Antigüedad s/ Ac. Abril 2017"),"")</f>
        <v/>
      </c>
      <c r="I22" s="69"/>
      <c r="J22" s="21">
        <f>IF(H22="",0,VLOOKUP($I$7,$C$1:$D$31,2,FALSE)*0.01)</f>
        <v>0</v>
      </c>
      <c r="K22" s="22">
        <f>IF(H22="",0,+M21)</f>
        <v>0</v>
      </c>
      <c r="L22" s="23"/>
      <c r="M22" s="51">
        <f>IF(H22="",0,+K22*J22)</f>
        <v>0</v>
      </c>
      <c r="N22" s="24"/>
      <c r="Q22" s="42" t="str">
        <f>+Tablas!A21</f>
        <v>Vendedor B</v>
      </c>
      <c r="R22" s="45">
        <f>+Tablas!B21</f>
        <v>11264.15</v>
      </c>
      <c r="S22" s="45">
        <f>+Tablas!C21</f>
        <v>13516.98</v>
      </c>
      <c r="T22" s="45">
        <f>+Tablas!D21</f>
        <v>1351.6979999999999</v>
      </c>
      <c r="U22" s="45">
        <f>+Tablas!E21</f>
        <v>14305.470499999999</v>
      </c>
      <c r="W22" s="42">
        <v>8</v>
      </c>
      <c r="X22" s="42">
        <v>8</v>
      </c>
      <c r="Y22" s="42">
        <v>8</v>
      </c>
      <c r="Z22" s="42">
        <v>8</v>
      </c>
    </row>
    <row r="23" spans="1:26" hidden="1">
      <c r="A23" s="11">
        <v>21</v>
      </c>
      <c r="B23" s="38" t="s">
        <v>5</v>
      </c>
      <c r="C23" s="11" t="str">
        <f t="shared" si="2"/>
        <v>21 años</v>
      </c>
      <c r="D23" s="11">
        <f t="shared" si="3"/>
        <v>21</v>
      </c>
      <c r="E23" s="11">
        <v>35</v>
      </c>
      <c r="F23" s="11" t="s">
        <v>47</v>
      </c>
      <c r="H23" s="68" t="str">
        <f>IF(J2=10,IF(H16="","","Presentismo s/ Ac. Abril 2017"),"")</f>
        <v/>
      </c>
      <c r="I23" s="69"/>
      <c r="J23" s="25">
        <f>IF(H23="",0,IF($I$8="SI",1/12,0))</f>
        <v>0</v>
      </c>
      <c r="K23" s="22">
        <f>IF(H23="",0,+M21+M22)</f>
        <v>0</v>
      </c>
      <c r="L23" s="23"/>
      <c r="M23" s="51">
        <f>IF(H23="",0,+K23*J23)</f>
        <v>0</v>
      </c>
      <c r="N23" s="24"/>
      <c r="Q23" s="42" t="str">
        <f>+Tablas!A22</f>
        <v>Vendedor C</v>
      </c>
      <c r="R23" s="45">
        <f>+Tablas!B22</f>
        <v>11366.03</v>
      </c>
      <c r="S23" s="45">
        <f>+Tablas!C22</f>
        <v>13639.236000000001</v>
      </c>
      <c r="T23" s="45">
        <f>+Tablas!D22</f>
        <v>1363.9236000000001</v>
      </c>
      <c r="U23" s="45">
        <f>+Tablas!E22</f>
        <v>14434.858100000001</v>
      </c>
      <c r="W23" s="42">
        <v>9</v>
      </c>
      <c r="X23" s="42">
        <v>9</v>
      </c>
      <c r="Y23" s="42">
        <v>9</v>
      </c>
      <c r="Z23" s="42">
        <v>9</v>
      </c>
    </row>
    <row r="24" spans="1:26" hidden="1">
      <c r="A24" s="38">
        <v>22</v>
      </c>
      <c r="B24" s="38" t="s">
        <v>5</v>
      </c>
      <c r="C24" s="11" t="str">
        <f t="shared" si="2"/>
        <v>22 años</v>
      </c>
      <c r="D24" s="11">
        <f t="shared" si="3"/>
        <v>22</v>
      </c>
      <c r="E24" s="11">
        <v>35</v>
      </c>
      <c r="F24" s="11" t="s">
        <v>47</v>
      </c>
      <c r="H24" s="68" t="str">
        <f>IF(J2=10,IF(J24=0,"","Plus Feriado s/ Ac. Abril 2017"),"")</f>
        <v/>
      </c>
      <c r="I24" s="69"/>
      <c r="J24" s="25">
        <f>VLOOKUP($I$2,Tablas!$Q$2:$R$13,2,FALSE)</f>
        <v>1</v>
      </c>
      <c r="K24" s="22">
        <f>IF(H24="",0,+(SUM(M21:M23)/25)-(SUM(M21:M23)/30))</f>
        <v>0</v>
      </c>
      <c r="L24" s="23"/>
      <c r="M24" s="51">
        <f>+K24*J24</f>
        <v>0</v>
      </c>
      <c r="N24" s="24"/>
      <c r="Q24" s="42" t="str">
        <f>+Tablas!A23</f>
        <v>Vendedor D</v>
      </c>
      <c r="R24" s="45">
        <f>+Tablas!B23</f>
        <v>11590.15</v>
      </c>
      <c r="S24" s="45">
        <f>+Tablas!C23</f>
        <v>13908.179999999998</v>
      </c>
      <c r="T24" s="45">
        <f>+Tablas!D23</f>
        <v>1390.818</v>
      </c>
      <c r="U24" s="45">
        <f>+Tablas!E23</f>
        <v>14719.4905</v>
      </c>
      <c r="W24" s="42">
        <v>10</v>
      </c>
      <c r="X24" s="42">
        <v>10</v>
      </c>
      <c r="Y24" s="42">
        <v>10</v>
      </c>
      <c r="Z24" s="42">
        <v>10</v>
      </c>
    </row>
    <row r="25" spans="1:26" hidden="1">
      <c r="A25" s="11">
        <v>23</v>
      </c>
      <c r="B25" s="38" t="s">
        <v>5</v>
      </c>
      <c r="C25" s="11" t="str">
        <f t="shared" si="2"/>
        <v>23 años</v>
      </c>
      <c r="D25" s="11">
        <f t="shared" si="3"/>
        <v>23</v>
      </c>
      <c r="E25" s="11">
        <v>35</v>
      </c>
      <c r="F25" s="11" t="s">
        <v>47</v>
      </c>
      <c r="H25" s="55" t="str">
        <f>IF($J$2=9,"Día del Empleado de Comercio s/ Ac. Abril 2017","")</f>
        <v/>
      </c>
      <c r="I25" s="56"/>
      <c r="J25" s="25">
        <f>IF(H25="",0,1)</f>
        <v>0</v>
      </c>
      <c r="K25" s="22">
        <f>IF(H25="",0,+(SUM(M21:M24)/25)-(SUM(M21:M24)/30))</f>
        <v>0</v>
      </c>
      <c r="L25" s="23"/>
      <c r="M25" s="23">
        <f>IF(H25="",0,J25*K25)</f>
        <v>0</v>
      </c>
      <c r="N25" s="24"/>
      <c r="W25" s="42">
        <v>11</v>
      </c>
      <c r="X25" s="42">
        <v>11</v>
      </c>
      <c r="Y25" s="42">
        <v>11</v>
      </c>
      <c r="Z25" s="42">
        <v>11</v>
      </c>
    </row>
    <row r="26" spans="1:26" hidden="1">
      <c r="A26" s="11">
        <v>24</v>
      </c>
      <c r="B26" s="38" t="s">
        <v>5</v>
      </c>
      <c r="C26" s="11" t="str">
        <f t="shared" si="2"/>
        <v>24 años</v>
      </c>
      <c r="D26" s="11">
        <f t="shared" si="3"/>
        <v>24</v>
      </c>
      <c r="E26" s="11">
        <v>35</v>
      </c>
      <c r="F26" s="11" t="s">
        <v>47</v>
      </c>
      <c r="H26" s="48" t="str">
        <f>IF(I9="no","","Licencia Anual Ordinaria s/ No Remunerativo")</f>
        <v/>
      </c>
      <c r="I26" s="49"/>
      <c r="J26" s="25" t="str">
        <f>IF(I9="no","",J19)</f>
        <v/>
      </c>
      <c r="K26" s="22" t="str">
        <f>IF(I9="no","",SUM(M21:M24))</f>
        <v/>
      </c>
      <c r="L26" s="23"/>
      <c r="M26" s="51" t="str">
        <f>IF(I9="no","",K26/25*VLOOKUP(I7,C1:E31,3,FALSE))</f>
        <v/>
      </c>
      <c r="N26" s="24"/>
      <c r="W26" s="42">
        <v>12</v>
      </c>
      <c r="X26" s="42">
        <v>12</v>
      </c>
      <c r="Y26" s="42">
        <v>12</v>
      </c>
      <c r="Z26" s="42">
        <v>12</v>
      </c>
    </row>
    <row r="27" spans="1:26" hidden="1">
      <c r="A27" s="11">
        <v>25</v>
      </c>
      <c r="B27" s="38" t="s">
        <v>5</v>
      </c>
      <c r="C27" s="11" t="str">
        <f t="shared" si="2"/>
        <v>25 años</v>
      </c>
      <c r="D27" s="11">
        <f t="shared" si="3"/>
        <v>25</v>
      </c>
      <c r="E27" s="11">
        <v>35</v>
      </c>
      <c r="F27" s="11" t="s">
        <v>47</v>
      </c>
      <c r="H27" s="48" t="str">
        <f>IF(I9="NO","","Descuento Días Vacaciones s/ No Remunerativo")</f>
        <v/>
      </c>
      <c r="I27" s="49"/>
      <c r="J27" s="25" t="str">
        <f>IF(I9="NO","",J26)</f>
        <v/>
      </c>
      <c r="K27" s="22" t="str">
        <f>IF(I9="NO","",K26)</f>
        <v/>
      </c>
      <c r="L27" s="23"/>
      <c r="M27" s="51" t="str">
        <f>IF(I9="NO","",-K27/30*VLOOKUP(I7,C1:E31,3,FALSE))</f>
        <v/>
      </c>
      <c r="N27" s="24"/>
      <c r="W27" s="42">
        <v>13</v>
      </c>
      <c r="X27" s="42">
        <v>13</v>
      </c>
      <c r="Y27" s="42">
        <v>13</v>
      </c>
      <c r="Z27" s="42">
        <v>13</v>
      </c>
    </row>
    <row r="28" spans="1:26">
      <c r="A28" s="11">
        <v>26</v>
      </c>
      <c r="B28" s="38" t="s">
        <v>5</v>
      </c>
      <c r="C28" s="11" t="str">
        <f t="shared" si="2"/>
        <v>26 años</v>
      </c>
      <c r="D28" s="11">
        <f t="shared" si="3"/>
        <v>26</v>
      </c>
      <c r="E28" s="11">
        <v>35</v>
      </c>
      <c r="F28" s="11" t="s">
        <v>47</v>
      </c>
      <c r="H28" s="68" t="s">
        <v>38</v>
      </c>
      <c r="I28" s="69"/>
      <c r="J28" s="26">
        <v>0.11</v>
      </c>
      <c r="K28" s="22">
        <f>+L37</f>
        <v>21927.46520536</v>
      </c>
      <c r="L28" s="23"/>
      <c r="M28" s="51"/>
      <c r="N28" s="24">
        <f t="shared" ref="N28:N34" si="4">+K28*J28</f>
        <v>2412.0211725896002</v>
      </c>
      <c r="W28" s="42">
        <v>14</v>
      </c>
      <c r="X28" s="42">
        <v>14</v>
      </c>
      <c r="Y28" s="42">
        <v>14</v>
      </c>
      <c r="Z28" s="42">
        <v>14</v>
      </c>
    </row>
    <row r="29" spans="1:26">
      <c r="A29" s="38">
        <v>27</v>
      </c>
      <c r="B29" s="38" t="s">
        <v>5</v>
      </c>
      <c r="C29" s="11" t="str">
        <f t="shared" si="2"/>
        <v>27 años</v>
      </c>
      <c r="D29" s="11">
        <f t="shared" si="3"/>
        <v>27</v>
      </c>
      <c r="E29" s="11">
        <v>35</v>
      </c>
      <c r="F29" s="11" t="s">
        <v>47</v>
      </c>
      <c r="H29" s="68" t="s">
        <v>39</v>
      </c>
      <c r="I29" s="69"/>
      <c r="J29" s="26">
        <v>0.03</v>
      </c>
      <c r="K29" s="22">
        <f>+K28</f>
        <v>21927.46520536</v>
      </c>
      <c r="L29" s="23"/>
      <c r="M29" s="51"/>
      <c r="N29" s="24">
        <f t="shared" si="4"/>
        <v>657.82395616079998</v>
      </c>
      <c r="X29" s="42">
        <v>15</v>
      </c>
      <c r="Y29" s="42">
        <v>15</v>
      </c>
      <c r="Z29" s="42">
        <v>15</v>
      </c>
    </row>
    <row r="30" spans="1:26">
      <c r="A30" s="11">
        <v>29</v>
      </c>
      <c r="B30" s="38" t="s">
        <v>5</v>
      </c>
      <c r="C30" s="11" t="str">
        <f t="shared" si="2"/>
        <v>29 años</v>
      </c>
      <c r="D30" s="11">
        <f t="shared" si="3"/>
        <v>29</v>
      </c>
      <c r="E30" s="11">
        <v>35</v>
      </c>
      <c r="F30" s="11" t="s">
        <v>47</v>
      </c>
      <c r="H30" s="68" t="s">
        <v>41</v>
      </c>
      <c r="I30" s="69"/>
      <c r="J30" s="26">
        <v>0.03</v>
      </c>
      <c r="K30" s="22">
        <f>IF($I$6="SI",IF($I$4="jornada completa",$L$37,$L$37*2)+IF($I$4="jornada completa",$M$37,$M$37*2),IF($I$4="jornada completa",$L$37,$L$37*2))</f>
        <v>21927.46520536</v>
      </c>
      <c r="L30" s="23"/>
      <c r="M30" s="51"/>
      <c r="N30" s="24">
        <f t="shared" si="4"/>
        <v>657.82395616079998</v>
      </c>
      <c r="X30" s="42">
        <v>16</v>
      </c>
      <c r="Y30" s="42">
        <v>16</v>
      </c>
      <c r="Z30" s="42">
        <v>16</v>
      </c>
    </row>
    <row r="31" spans="1:26">
      <c r="A31" s="11">
        <v>30</v>
      </c>
      <c r="B31" s="38" t="s">
        <v>5</v>
      </c>
      <c r="C31" s="11" t="str">
        <f t="shared" si="2"/>
        <v>30 años</v>
      </c>
      <c r="D31" s="11">
        <f t="shared" si="3"/>
        <v>30</v>
      </c>
      <c r="E31" s="11">
        <v>35</v>
      </c>
      <c r="F31" s="11" t="s">
        <v>47</v>
      </c>
      <c r="H31" s="68" t="s">
        <v>43</v>
      </c>
      <c r="I31" s="69"/>
      <c r="J31" s="21">
        <v>5.0000000000000001E-3</v>
      </c>
      <c r="K31" s="22">
        <f>+L37+M37</f>
        <v>21927.46520536</v>
      </c>
      <c r="L31" s="23"/>
      <c r="M31" s="51"/>
      <c r="N31" s="24">
        <f t="shared" si="4"/>
        <v>109.6373260268</v>
      </c>
      <c r="O31" s="13"/>
      <c r="P31" s="47"/>
      <c r="X31" s="42">
        <v>17</v>
      </c>
      <c r="Y31" s="42">
        <v>17</v>
      </c>
      <c r="Z31" s="42">
        <v>17</v>
      </c>
    </row>
    <row r="32" spans="1:26">
      <c r="H32" s="68" t="s">
        <v>44</v>
      </c>
      <c r="I32" s="69"/>
      <c r="J32" s="26">
        <v>0.02</v>
      </c>
      <c r="K32" s="22">
        <f>+K31</f>
        <v>21927.46520536</v>
      </c>
      <c r="L32" s="23"/>
      <c r="M32" s="51"/>
      <c r="N32" s="24">
        <f t="shared" si="4"/>
        <v>438.54930410719999</v>
      </c>
      <c r="O32" s="13"/>
      <c r="X32" s="42">
        <v>18</v>
      </c>
      <c r="Y32" s="42">
        <v>18</v>
      </c>
      <c r="Z32" s="42">
        <v>18</v>
      </c>
    </row>
    <row r="33" spans="8:28">
      <c r="H33" s="68" t="str">
        <f>IF(I5="NO","","Seguro de Sepelio")</f>
        <v>Seguro de Sepelio</v>
      </c>
      <c r="I33" s="69"/>
      <c r="J33" s="26">
        <f>IF(H33="",0,IF($I$5="si",1%,0%))</f>
        <v>0.01</v>
      </c>
      <c r="K33" s="22">
        <f>IF(H33="",0,IF($I$5="SI",IF($I$4="jornada completa",$L$37,$L$37*2)+IF($I$4="jornada completa",$M$37,$M$37*2),IF($I$4="jornada completa",$L$37,$L$37*2)))</f>
        <v>21927.46520536</v>
      </c>
      <c r="L33" s="23"/>
      <c r="M33" s="51"/>
      <c r="N33" s="24">
        <f t="shared" si="4"/>
        <v>219.27465205359999</v>
      </c>
      <c r="X33" s="42">
        <v>19</v>
      </c>
      <c r="Y33" s="42">
        <v>19</v>
      </c>
      <c r="Z33" s="42">
        <v>19</v>
      </c>
    </row>
    <row r="34" spans="8:28">
      <c r="H34" s="68" t="str">
        <f>IF(I5="NO","","Turismo y Recreación")</f>
        <v>Turismo y Recreación</v>
      </c>
      <c r="I34" s="69"/>
      <c r="J34" s="26">
        <f>IF($I$5="si",1%,0%)</f>
        <v>0.01</v>
      </c>
      <c r="K34" s="22">
        <f>IF(H34="",0,+K33)</f>
        <v>21927.46520536</v>
      </c>
      <c r="L34" s="23"/>
      <c r="M34" s="51"/>
      <c r="N34" s="24">
        <f t="shared" si="4"/>
        <v>219.27465205359999</v>
      </c>
      <c r="O34" s="13"/>
      <c r="X34" s="42">
        <v>20</v>
      </c>
      <c r="Y34" s="42">
        <v>20</v>
      </c>
      <c r="Z34" s="42">
        <v>20</v>
      </c>
    </row>
    <row r="35" spans="8:28" ht="15.75" thickBot="1">
      <c r="H35" s="68" t="str">
        <f>IF(I6="NO","","OSECAC Aporte Especial Ac. Abril 2017")&amp;IF(I6="NO",""," "&amp;"Cuota N°"&amp;" "&amp;VLOOKUP(I2,Tablas!$Q$16:$R$27,2,FALSE))</f>
        <v>OSECAC Aporte Especial Ac. Abril 2017 Cuota N° 8</v>
      </c>
      <c r="I35" s="69"/>
      <c r="J35" s="26"/>
      <c r="K35" s="22">
        <f>IF(I6="si",100,0)</f>
        <v>100</v>
      </c>
      <c r="L35" s="23"/>
      <c r="M35" s="51"/>
      <c r="N35" s="54">
        <f>+K35</f>
        <v>100</v>
      </c>
      <c r="O35" s="13"/>
      <c r="P35" s="11"/>
      <c r="Q35" s="11"/>
      <c r="R35" s="11"/>
      <c r="S35" s="11"/>
      <c r="T35" s="11"/>
      <c r="U35" s="11"/>
      <c r="V35" s="11"/>
      <c r="W35" s="11"/>
      <c r="X35" s="11">
        <v>21</v>
      </c>
      <c r="Y35" s="11">
        <v>21</v>
      </c>
      <c r="Z35" s="11">
        <v>21</v>
      </c>
      <c r="AA35" s="11"/>
      <c r="AB35" s="11"/>
    </row>
    <row r="36" spans="8:28" ht="15.75" hidden="1" thickBot="1">
      <c r="H36" s="78"/>
      <c r="I36" s="79"/>
      <c r="J36" s="32"/>
      <c r="K36" s="29"/>
      <c r="L36" s="30"/>
      <c r="M36" s="31"/>
      <c r="N36" s="53"/>
      <c r="Y36" s="42">
        <v>22</v>
      </c>
      <c r="Z36" s="42">
        <v>22</v>
      </c>
    </row>
    <row r="37" spans="8:28" ht="15.75" thickBot="1">
      <c r="H37" s="72" t="s">
        <v>45</v>
      </c>
      <c r="I37" s="73"/>
      <c r="J37" s="73"/>
      <c r="K37" s="74"/>
      <c r="L37" s="27">
        <f>SUM(L14:L35)</f>
        <v>21927.46520536</v>
      </c>
      <c r="M37" s="27">
        <f>SUM(M14:M35)</f>
        <v>0</v>
      </c>
      <c r="N37" s="28">
        <f>SUM(N14:N35)</f>
        <v>4814.4050191524002</v>
      </c>
      <c r="Y37" s="42">
        <v>23</v>
      </c>
      <c r="Z37" s="42">
        <v>23</v>
      </c>
    </row>
    <row r="38" spans="8:28" ht="15.75" thickBot="1">
      <c r="H38" s="72" t="s">
        <v>46</v>
      </c>
      <c r="I38" s="73"/>
      <c r="J38" s="73"/>
      <c r="K38" s="74"/>
      <c r="L38" s="75">
        <f>ROUNDUP(+L37+M37-N37,0)</f>
        <v>17114</v>
      </c>
      <c r="M38" s="76"/>
      <c r="N38" s="77"/>
      <c r="Y38" s="42">
        <v>24</v>
      </c>
      <c r="Z38" s="42">
        <v>24</v>
      </c>
    </row>
    <row r="39" spans="8:28">
      <c r="Y39" s="42">
        <v>25</v>
      </c>
      <c r="Z39" s="42">
        <v>25</v>
      </c>
    </row>
    <row r="40" spans="8:28">
      <c r="Y40" s="42">
        <v>26</v>
      </c>
      <c r="Z40" s="42">
        <v>26</v>
      </c>
    </row>
    <row r="41" spans="8:28">
      <c r="Y41" s="42">
        <v>27</v>
      </c>
      <c r="Z41" s="42">
        <v>27</v>
      </c>
    </row>
    <row r="42" spans="8:28">
      <c r="Y42" s="42">
        <v>28</v>
      </c>
      <c r="Z42" s="42">
        <v>28</v>
      </c>
    </row>
    <row r="43" spans="8:28">
      <c r="Z43" s="42">
        <v>29</v>
      </c>
    </row>
    <row r="44" spans="8:28">
      <c r="Z44" s="42">
        <v>30</v>
      </c>
    </row>
    <row r="45" spans="8:28">
      <c r="Z45" s="42">
        <v>31</v>
      </c>
    </row>
    <row r="46" spans="8:28">
      <c r="Z46" s="42">
        <v>32</v>
      </c>
    </row>
    <row r="47" spans="8:28">
      <c r="Z47" s="42">
        <v>33</v>
      </c>
    </row>
    <row r="48" spans="8:28">
      <c r="Z48" s="42">
        <v>34</v>
      </c>
    </row>
    <row r="49" spans="26:26">
      <c r="Z49" s="42">
        <v>35</v>
      </c>
    </row>
  </sheetData>
  <protectedRanges>
    <protectedRange sqref="I2:I10" name="Rango1"/>
    <protectedRange sqref="J19" name="Rango2"/>
  </protectedRanges>
  <autoFilter ref="H12:N38">
    <filterColumn colId="0" showButton="0">
      <customFilters>
        <customFilter operator="notEqual" val=" "/>
      </customFilters>
    </filterColumn>
    <filterColumn colId="1" showButton="0"/>
  </autoFilter>
  <customSheetViews>
    <customSheetView guid="{378D02D6-47FA-4633-9120-8AFCDBA35426}" showPageBreaks="1" showGridLines="0" showRowCol="0" fitToPage="1" printArea="1" topLeftCell="E1">
      <selection activeCell="H3" sqref="H3"/>
      <pageMargins left="0.70866141732283472" right="0.70866141732283472" top="0.49" bottom="0.74803149606299213" header="0.31496062992125984" footer="0.31496062992125984"/>
      <pageSetup paperSize="9" scale="68" orientation="portrait" horizontalDpi="300" verticalDpi="300" r:id="rId1"/>
    </customSheetView>
  </customSheetViews>
  <mergeCells count="25">
    <mergeCell ref="H38:K38"/>
    <mergeCell ref="L38:N38"/>
    <mergeCell ref="H32:I32"/>
    <mergeCell ref="H33:I33"/>
    <mergeCell ref="H34:I34"/>
    <mergeCell ref="H35:I35"/>
    <mergeCell ref="H37:K37"/>
    <mergeCell ref="H36:I36"/>
    <mergeCell ref="H31:I31"/>
    <mergeCell ref="H14:I14"/>
    <mergeCell ref="H15:I15"/>
    <mergeCell ref="H16:I16"/>
    <mergeCell ref="H17:I17"/>
    <mergeCell ref="H21:I21"/>
    <mergeCell ref="H22:I22"/>
    <mergeCell ref="H23:I23"/>
    <mergeCell ref="H24:I24"/>
    <mergeCell ref="H28:I28"/>
    <mergeCell ref="H29:I29"/>
    <mergeCell ref="H30:I30"/>
    <mergeCell ref="K12:K13"/>
    <mergeCell ref="L12:L13"/>
    <mergeCell ref="M12:M13"/>
    <mergeCell ref="N12:N13"/>
    <mergeCell ref="H12:J13"/>
  </mergeCells>
  <conditionalFormatting sqref="H10">
    <cfRule type="expression" dxfId="1" priority="2">
      <formula>$H$10=""</formula>
    </cfRule>
  </conditionalFormatting>
  <conditionalFormatting sqref="I10">
    <cfRule type="expression" dxfId="0" priority="1">
      <formula>$I$9="NO"</formula>
    </cfRule>
  </conditionalFormatting>
  <dataValidations count="6">
    <dataValidation type="list" allowBlank="1" showInputMessage="1" showErrorMessage="1" sqref="I4">
      <formula1>"Jornada Completa,Media Jornada"</formula1>
    </dataValidation>
    <dataValidation type="list" allowBlank="1" showInputMessage="1" showErrorMessage="1" sqref="I3">
      <formula1>$Q$3:$Q$24</formula1>
    </dataValidation>
    <dataValidation type="list" allowBlank="1" showInputMessage="1" showErrorMessage="1" sqref="I5:I6 I8:I9">
      <formula1>"Si,No"</formula1>
    </dataValidation>
    <dataValidation type="list" allowBlank="1" showInputMessage="1" showErrorMessage="1" sqref="I2">
      <formula1>"Oct-2017,Nov-2017,Dic-2017"</formula1>
    </dataValidation>
    <dataValidation type="list" allowBlank="1" showInputMessage="1" showErrorMessage="1" sqref="I7">
      <formula1>$C$1:$C$31</formula1>
    </dataValidation>
    <dataValidation type="list" allowBlank="1" showInputMessage="1" showErrorMessage="1" sqref="I10">
      <formula1>IF(I9="NO",I11,IF($J$15&lt;0.05,$W$14:$W$28,IF($J$15&lt;0.1,$X$14:$X$35,IF($J$15&lt;0.2,$Y$14:$Y$42,$Z$14:$Z$49))))</formula1>
    </dataValidation>
  </dataValidations>
  <pageMargins left="0.70866141732283472" right="0.70866141732283472" top="0.49" bottom="0.74803149606299213" header="0.31496062992125984" footer="0.31496062992125984"/>
  <pageSetup paperSize="9" scale="68"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R37"/>
  <sheetViews>
    <sheetView workbookViewId="0">
      <selection activeCell="I20" sqref="I20"/>
    </sheetView>
  </sheetViews>
  <sheetFormatPr baseColWidth="10" defaultRowHeight="15"/>
  <cols>
    <col min="1" max="1" width="15.85546875" style="33" bestFit="1" customWidth="1"/>
    <col min="2" max="2" width="11.28515625" style="33" hidden="1" customWidth="1"/>
    <col min="3" max="3" width="0" style="33" hidden="1" customWidth="1"/>
    <col min="4" max="16384" width="11.42578125" style="33"/>
  </cols>
  <sheetData>
    <row r="1" spans="1:18">
      <c r="A1" s="34"/>
      <c r="B1" s="35">
        <v>42309</v>
      </c>
      <c r="C1" s="35">
        <v>42461</v>
      </c>
      <c r="D1" s="35">
        <v>42644</v>
      </c>
      <c r="E1" s="35">
        <v>42736</v>
      </c>
      <c r="F1" s="35">
        <v>42826</v>
      </c>
      <c r="G1" s="35">
        <v>42826</v>
      </c>
      <c r="H1" s="35">
        <v>42917</v>
      </c>
      <c r="I1" s="35">
        <v>42917</v>
      </c>
      <c r="J1" s="35">
        <v>43040</v>
      </c>
      <c r="L1" s="80" t="s">
        <v>50</v>
      </c>
      <c r="M1" s="80"/>
      <c r="N1" s="80"/>
      <c r="O1" s="80"/>
      <c r="Q1" s="80" t="s">
        <v>55</v>
      </c>
      <c r="R1" s="80"/>
    </row>
    <row r="2" spans="1:18">
      <c r="A2" s="34"/>
      <c r="B2" s="35" t="s">
        <v>3</v>
      </c>
      <c r="C2" s="35" t="s">
        <v>3</v>
      </c>
      <c r="D2" s="35" t="s">
        <v>4</v>
      </c>
      <c r="E2" s="35" t="s">
        <v>3</v>
      </c>
      <c r="F2" s="35" t="s">
        <v>3</v>
      </c>
      <c r="G2" s="35" t="s">
        <v>4</v>
      </c>
      <c r="H2" s="35" t="s">
        <v>3</v>
      </c>
      <c r="I2" s="35" t="s">
        <v>4</v>
      </c>
      <c r="J2" s="35" t="s">
        <v>3</v>
      </c>
      <c r="L2" s="37" t="s">
        <v>51</v>
      </c>
      <c r="M2" s="37" t="s">
        <v>52</v>
      </c>
      <c r="N2" s="37" t="s">
        <v>53</v>
      </c>
      <c r="O2" s="37" t="s">
        <v>54</v>
      </c>
      <c r="Q2" s="40">
        <v>42736</v>
      </c>
      <c r="R2" s="37">
        <v>1</v>
      </c>
    </row>
    <row r="3" spans="1:18">
      <c r="A3" s="34" t="s">
        <v>8</v>
      </c>
      <c r="B3" s="36">
        <v>10754.81</v>
      </c>
      <c r="C3" s="36">
        <f>+B3*1.2</f>
        <v>12905.771999999999</v>
      </c>
      <c r="D3" s="36">
        <f>+B3*0.12</f>
        <v>1290.5771999999999</v>
      </c>
      <c r="E3" s="36">
        <f t="shared" ref="E3:E23" si="0">+B3*1.27</f>
        <v>13658.608699999999</v>
      </c>
      <c r="F3" s="36">
        <f>+E3+D3</f>
        <v>14949.185899999999</v>
      </c>
      <c r="G3" s="36">
        <f>+F3*0.1</f>
        <v>1494.91859</v>
      </c>
      <c r="H3" s="36">
        <f>+F3+G3</f>
        <v>16444.104489999998</v>
      </c>
      <c r="I3" s="36">
        <f>+F3*0.1</f>
        <v>1494.91859</v>
      </c>
      <c r="J3" s="36">
        <f>+H3+I3</f>
        <v>17939.023079999999</v>
      </c>
      <c r="L3" s="37">
        <v>1</v>
      </c>
      <c r="M3" s="37">
        <v>1</v>
      </c>
      <c r="N3" s="37">
        <v>1</v>
      </c>
      <c r="O3" s="37">
        <v>1</v>
      </c>
      <c r="Q3" s="40">
        <v>42767</v>
      </c>
      <c r="R3" s="37">
        <v>2</v>
      </c>
    </row>
    <row r="4" spans="1:18">
      <c r="A4" s="34" t="s">
        <v>10</v>
      </c>
      <c r="B4" s="36">
        <v>10795.52</v>
      </c>
      <c r="C4" s="36">
        <f t="shared" ref="C4:C23" si="1">+B4*1.2</f>
        <v>12954.624</v>
      </c>
      <c r="D4" s="36">
        <f t="shared" ref="D4:D23" si="2">+B4*0.12</f>
        <v>1295.4624000000001</v>
      </c>
      <c r="E4" s="36">
        <f t="shared" si="0"/>
        <v>13710.3104</v>
      </c>
      <c r="F4" s="36">
        <f t="shared" ref="F4:F23" si="3">+E4+D4</f>
        <v>15005.772800000001</v>
      </c>
      <c r="G4" s="36">
        <f t="shared" ref="G4:G24" si="4">+F4*0.1</f>
        <v>1500.5772800000002</v>
      </c>
      <c r="H4" s="36">
        <f t="shared" ref="H4:H24" si="5">+F4+G4</f>
        <v>16506.35008</v>
      </c>
      <c r="I4" s="36">
        <f t="shared" ref="I4:I24" si="6">+F4*0.1</f>
        <v>1500.5772800000002</v>
      </c>
      <c r="J4" s="36">
        <f t="shared" ref="J4:J23" si="7">+H4+I4</f>
        <v>18006.927360000001</v>
      </c>
      <c r="L4" s="37">
        <v>2</v>
      </c>
      <c r="M4" s="37">
        <v>2</v>
      </c>
      <c r="N4" s="37">
        <v>2</v>
      </c>
      <c r="O4" s="37">
        <v>2</v>
      </c>
      <c r="Q4" s="40">
        <v>42795</v>
      </c>
      <c r="R4" s="37">
        <v>1</v>
      </c>
    </row>
    <row r="5" spans="1:18">
      <c r="A5" s="34" t="s">
        <v>13</v>
      </c>
      <c r="B5" s="36">
        <v>10938.18</v>
      </c>
      <c r="C5" s="36">
        <f t="shared" si="1"/>
        <v>13125.816000000001</v>
      </c>
      <c r="D5" s="36">
        <f t="shared" si="2"/>
        <v>1312.5816</v>
      </c>
      <c r="E5" s="36">
        <f t="shared" si="0"/>
        <v>13891.488600000001</v>
      </c>
      <c r="F5" s="36">
        <f t="shared" si="3"/>
        <v>15204.0702</v>
      </c>
      <c r="G5" s="36">
        <f t="shared" si="4"/>
        <v>1520.4070200000001</v>
      </c>
      <c r="H5" s="36">
        <f t="shared" si="5"/>
        <v>16724.477220000001</v>
      </c>
      <c r="I5" s="36">
        <f t="shared" si="6"/>
        <v>1520.4070200000001</v>
      </c>
      <c r="J5" s="36">
        <f t="shared" si="7"/>
        <v>18244.884239999999</v>
      </c>
      <c r="L5" s="37">
        <v>3</v>
      </c>
      <c r="M5" s="37">
        <v>3</v>
      </c>
      <c r="N5" s="37">
        <v>3</v>
      </c>
      <c r="O5" s="37">
        <v>3</v>
      </c>
      <c r="Q5" s="40">
        <v>42826</v>
      </c>
      <c r="R5" s="41">
        <v>2</v>
      </c>
    </row>
    <row r="6" spans="1:18">
      <c r="A6" s="34" t="s">
        <v>15</v>
      </c>
      <c r="B6" s="36">
        <v>10907.6</v>
      </c>
      <c r="C6" s="36">
        <f t="shared" si="1"/>
        <v>13089.12</v>
      </c>
      <c r="D6" s="36">
        <f t="shared" si="2"/>
        <v>1308.912</v>
      </c>
      <c r="E6" s="36">
        <f t="shared" si="0"/>
        <v>13852.652</v>
      </c>
      <c r="F6" s="36">
        <f t="shared" si="3"/>
        <v>15161.564</v>
      </c>
      <c r="G6" s="36">
        <f t="shared" si="4"/>
        <v>1516.1564000000001</v>
      </c>
      <c r="H6" s="36">
        <f t="shared" si="5"/>
        <v>16677.720400000002</v>
      </c>
      <c r="I6" s="36">
        <f t="shared" si="6"/>
        <v>1516.1564000000001</v>
      </c>
      <c r="J6" s="36">
        <f t="shared" si="7"/>
        <v>18193.876800000002</v>
      </c>
      <c r="L6" s="37">
        <v>4</v>
      </c>
      <c r="M6" s="37">
        <v>4</v>
      </c>
      <c r="N6" s="37">
        <v>4</v>
      </c>
      <c r="O6" s="37">
        <v>4</v>
      </c>
      <c r="Q6" s="40">
        <v>42856</v>
      </c>
      <c r="R6" s="41">
        <v>2</v>
      </c>
    </row>
    <row r="7" spans="1:18">
      <c r="A7" s="34" t="s">
        <v>17</v>
      </c>
      <c r="B7" s="36">
        <v>10968.75</v>
      </c>
      <c r="C7" s="36">
        <f t="shared" si="1"/>
        <v>13162.5</v>
      </c>
      <c r="D7" s="36">
        <f t="shared" si="2"/>
        <v>1316.25</v>
      </c>
      <c r="E7" s="36">
        <f t="shared" si="0"/>
        <v>13930.3125</v>
      </c>
      <c r="F7" s="36">
        <f t="shared" si="3"/>
        <v>15246.5625</v>
      </c>
      <c r="G7" s="36">
        <f t="shared" si="4"/>
        <v>1524.65625</v>
      </c>
      <c r="H7" s="36">
        <f t="shared" si="5"/>
        <v>16771.21875</v>
      </c>
      <c r="I7" s="36">
        <f t="shared" si="6"/>
        <v>1524.65625</v>
      </c>
      <c r="J7" s="36">
        <f t="shared" si="7"/>
        <v>18295.875</v>
      </c>
      <c r="L7" s="37">
        <v>5</v>
      </c>
      <c r="M7" s="37">
        <v>5</v>
      </c>
      <c r="N7" s="37">
        <v>5</v>
      </c>
      <c r="O7" s="37">
        <v>5</v>
      </c>
      <c r="Q7" s="40">
        <v>42887</v>
      </c>
      <c r="R7" s="41">
        <v>2</v>
      </c>
    </row>
    <row r="8" spans="1:18">
      <c r="A8" s="34" t="s">
        <v>19</v>
      </c>
      <c r="B8" s="36">
        <v>11029.78</v>
      </c>
      <c r="C8" s="36">
        <f t="shared" si="1"/>
        <v>13235.736000000001</v>
      </c>
      <c r="D8" s="36">
        <f t="shared" si="2"/>
        <v>1323.5735999999999</v>
      </c>
      <c r="E8" s="36">
        <f t="shared" si="0"/>
        <v>14007.820600000001</v>
      </c>
      <c r="F8" s="36">
        <f t="shared" si="3"/>
        <v>15331.394200000001</v>
      </c>
      <c r="G8" s="36">
        <f t="shared" si="4"/>
        <v>1533.1394200000002</v>
      </c>
      <c r="H8" s="36">
        <f t="shared" si="5"/>
        <v>16864.533620000002</v>
      </c>
      <c r="I8" s="36">
        <f t="shared" si="6"/>
        <v>1533.1394200000002</v>
      </c>
      <c r="J8" s="36">
        <f t="shared" si="7"/>
        <v>18397.673040000001</v>
      </c>
      <c r="L8" s="37">
        <v>6</v>
      </c>
      <c r="M8" s="37">
        <v>6</v>
      </c>
      <c r="N8" s="37">
        <v>6</v>
      </c>
      <c r="O8" s="37">
        <v>6</v>
      </c>
      <c r="Q8" s="40">
        <v>42917</v>
      </c>
      <c r="R8" s="41">
        <v>1</v>
      </c>
    </row>
    <row r="9" spans="1:18">
      <c r="A9" s="34" t="s">
        <v>20</v>
      </c>
      <c r="B9" s="36">
        <v>11213.2</v>
      </c>
      <c r="C9" s="36">
        <f t="shared" si="1"/>
        <v>13455.84</v>
      </c>
      <c r="D9" s="36">
        <f t="shared" si="2"/>
        <v>1345.5840000000001</v>
      </c>
      <c r="E9" s="36">
        <f t="shared" si="0"/>
        <v>14240.764000000001</v>
      </c>
      <c r="F9" s="36">
        <f t="shared" si="3"/>
        <v>15586.348000000002</v>
      </c>
      <c r="G9" s="36">
        <f t="shared" si="4"/>
        <v>1558.6348000000003</v>
      </c>
      <c r="H9" s="36">
        <f t="shared" si="5"/>
        <v>17144.982800000002</v>
      </c>
      <c r="I9" s="36">
        <f t="shared" si="6"/>
        <v>1558.6348000000003</v>
      </c>
      <c r="J9" s="36">
        <f t="shared" si="7"/>
        <v>18703.617600000001</v>
      </c>
      <c r="L9" s="37">
        <v>7</v>
      </c>
      <c r="M9" s="37">
        <v>7</v>
      </c>
      <c r="N9" s="37">
        <v>7</v>
      </c>
      <c r="O9" s="37">
        <v>7</v>
      </c>
      <c r="Q9" s="40">
        <v>42948</v>
      </c>
      <c r="R9" s="41">
        <v>1</v>
      </c>
    </row>
    <row r="10" spans="1:18">
      <c r="A10" s="34" t="s">
        <v>21</v>
      </c>
      <c r="B10" s="36">
        <v>11366.03</v>
      </c>
      <c r="C10" s="36">
        <f t="shared" si="1"/>
        <v>13639.236000000001</v>
      </c>
      <c r="D10" s="36">
        <f t="shared" si="2"/>
        <v>1363.9236000000001</v>
      </c>
      <c r="E10" s="36">
        <f t="shared" si="0"/>
        <v>14434.858100000001</v>
      </c>
      <c r="F10" s="36">
        <f t="shared" si="3"/>
        <v>15798.781700000001</v>
      </c>
      <c r="G10" s="36">
        <f t="shared" si="4"/>
        <v>1579.8781700000002</v>
      </c>
      <c r="H10" s="36">
        <f t="shared" si="5"/>
        <v>17378.659870000003</v>
      </c>
      <c r="I10" s="36">
        <f t="shared" si="6"/>
        <v>1579.8781700000002</v>
      </c>
      <c r="J10" s="36">
        <f t="shared" si="7"/>
        <v>18958.538040000003</v>
      </c>
      <c r="L10" s="37">
        <v>8</v>
      </c>
      <c r="M10" s="37">
        <v>8</v>
      </c>
      <c r="N10" s="37">
        <v>8</v>
      </c>
      <c r="O10" s="37">
        <v>8</v>
      </c>
      <c r="Q10" s="40">
        <v>42979</v>
      </c>
      <c r="R10" s="41">
        <v>0</v>
      </c>
    </row>
    <row r="11" spans="1:18">
      <c r="A11" s="34" t="s">
        <v>27</v>
      </c>
      <c r="B11" s="36">
        <v>11590.15</v>
      </c>
      <c r="C11" s="36">
        <f t="shared" si="1"/>
        <v>13908.179999999998</v>
      </c>
      <c r="D11" s="36">
        <f t="shared" si="2"/>
        <v>1390.818</v>
      </c>
      <c r="E11" s="36">
        <f t="shared" si="0"/>
        <v>14719.4905</v>
      </c>
      <c r="F11" s="36">
        <f t="shared" si="3"/>
        <v>16110.308499999999</v>
      </c>
      <c r="G11" s="36">
        <f t="shared" si="4"/>
        <v>1611.0308500000001</v>
      </c>
      <c r="H11" s="36">
        <f t="shared" si="5"/>
        <v>17721.339349999998</v>
      </c>
      <c r="I11" s="36">
        <f t="shared" si="6"/>
        <v>1611.0308500000001</v>
      </c>
      <c r="J11" s="36">
        <f t="shared" si="7"/>
        <v>19332.370199999998</v>
      </c>
      <c r="L11" s="37">
        <v>9</v>
      </c>
      <c r="M11" s="37">
        <v>9</v>
      </c>
      <c r="N11" s="37">
        <v>9</v>
      </c>
      <c r="O11" s="37">
        <v>9</v>
      </c>
      <c r="Q11" s="40">
        <v>43009</v>
      </c>
      <c r="R11" s="41">
        <v>1</v>
      </c>
    </row>
    <row r="12" spans="1:18">
      <c r="A12" s="34" t="s">
        <v>28</v>
      </c>
      <c r="B12" s="36">
        <v>10958.52</v>
      </c>
      <c r="C12" s="36">
        <f t="shared" si="1"/>
        <v>13150.224</v>
      </c>
      <c r="D12" s="36">
        <f t="shared" si="2"/>
        <v>1315.0224000000001</v>
      </c>
      <c r="E12" s="36">
        <f t="shared" si="0"/>
        <v>13917.320400000001</v>
      </c>
      <c r="F12" s="36">
        <f t="shared" si="3"/>
        <v>15232.3428</v>
      </c>
      <c r="G12" s="36">
        <f t="shared" si="4"/>
        <v>1523.2342800000001</v>
      </c>
      <c r="H12" s="36">
        <f t="shared" si="5"/>
        <v>16755.577079999999</v>
      </c>
      <c r="I12" s="36">
        <f t="shared" si="6"/>
        <v>1523.2342800000001</v>
      </c>
      <c r="J12" s="36">
        <f t="shared" si="7"/>
        <v>18278.81136</v>
      </c>
      <c r="L12" s="37">
        <v>10</v>
      </c>
      <c r="M12" s="37">
        <v>10</v>
      </c>
      <c r="N12" s="37">
        <v>10</v>
      </c>
      <c r="O12" s="37">
        <v>10</v>
      </c>
      <c r="Q12" s="40">
        <v>43040</v>
      </c>
      <c r="R12" s="41">
        <v>1</v>
      </c>
    </row>
    <row r="13" spans="1:18">
      <c r="A13" s="34" t="s">
        <v>30</v>
      </c>
      <c r="B13" s="36">
        <v>11029.78</v>
      </c>
      <c r="C13" s="36">
        <f t="shared" si="1"/>
        <v>13235.736000000001</v>
      </c>
      <c r="D13" s="36">
        <f t="shared" si="2"/>
        <v>1323.5735999999999</v>
      </c>
      <c r="E13" s="36">
        <f t="shared" si="0"/>
        <v>14007.820600000001</v>
      </c>
      <c r="F13" s="36">
        <f t="shared" si="3"/>
        <v>15331.394200000001</v>
      </c>
      <c r="G13" s="36">
        <f t="shared" si="4"/>
        <v>1533.1394200000002</v>
      </c>
      <c r="H13" s="36">
        <f t="shared" si="5"/>
        <v>16864.533620000002</v>
      </c>
      <c r="I13" s="36">
        <f t="shared" si="6"/>
        <v>1533.1394200000002</v>
      </c>
      <c r="J13" s="36">
        <f t="shared" si="7"/>
        <v>18397.673040000001</v>
      </c>
      <c r="L13" s="37">
        <v>11</v>
      </c>
      <c r="M13" s="37">
        <v>11</v>
      </c>
      <c r="N13" s="37">
        <v>11</v>
      </c>
      <c r="O13" s="37">
        <v>11</v>
      </c>
      <c r="Q13" s="40">
        <v>43070</v>
      </c>
      <c r="R13" s="41">
        <v>2</v>
      </c>
    </row>
    <row r="14" spans="1:18">
      <c r="A14" s="34" t="s">
        <v>31</v>
      </c>
      <c r="B14" s="36">
        <v>11121.53</v>
      </c>
      <c r="C14" s="36">
        <f t="shared" si="1"/>
        <v>13345.836000000001</v>
      </c>
      <c r="D14" s="36">
        <f t="shared" si="2"/>
        <v>1334.5835999999999</v>
      </c>
      <c r="E14" s="36">
        <f t="shared" si="0"/>
        <v>14124.343100000002</v>
      </c>
      <c r="F14" s="36">
        <f t="shared" si="3"/>
        <v>15458.926700000002</v>
      </c>
      <c r="G14" s="36">
        <f t="shared" si="4"/>
        <v>1545.8926700000002</v>
      </c>
      <c r="H14" s="36">
        <f t="shared" si="5"/>
        <v>17004.819370000001</v>
      </c>
      <c r="I14" s="36">
        <f t="shared" si="6"/>
        <v>1545.8926700000002</v>
      </c>
      <c r="J14" s="36">
        <f t="shared" si="7"/>
        <v>18550.712040000002</v>
      </c>
      <c r="L14" s="37">
        <v>12</v>
      </c>
      <c r="M14" s="37">
        <v>12</v>
      </c>
      <c r="N14" s="37">
        <v>12</v>
      </c>
      <c r="O14" s="37">
        <v>12</v>
      </c>
    </row>
    <row r="15" spans="1:18">
      <c r="A15" s="34" t="s">
        <v>32</v>
      </c>
      <c r="B15" s="36">
        <v>10958.54</v>
      </c>
      <c r="C15" s="36">
        <f t="shared" si="1"/>
        <v>13150.248000000001</v>
      </c>
      <c r="D15" s="36">
        <f t="shared" si="2"/>
        <v>1315.0248000000001</v>
      </c>
      <c r="E15" s="36">
        <f t="shared" si="0"/>
        <v>13917.345800000001</v>
      </c>
      <c r="F15" s="36">
        <f t="shared" si="3"/>
        <v>15232.370600000002</v>
      </c>
      <c r="G15" s="36">
        <f t="shared" si="4"/>
        <v>1523.2370600000004</v>
      </c>
      <c r="H15" s="36">
        <f t="shared" si="5"/>
        <v>16755.607660000001</v>
      </c>
      <c r="I15" s="36">
        <f t="shared" si="6"/>
        <v>1523.2370600000004</v>
      </c>
      <c r="J15" s="36">
        <f t="shared" si="7"/>
        <v>18278.844720000001</v>
      </c>
      <c r="L15" s="37">
        <v>13</v>
      </c>
      <c r="M15" s="37">
        <v>13</v>
      </c>
      <c r="N15" s="37">
        <v>13</v>
      </c>
      <c r="O15" s="37">
        <v>13</v>
      </c>
      <c r="Q15" s="80" t="s">
        <v>56</v>
      </c>
      <c r="R15" s="80"/>
    </row>
    <row r="16" spans="1:18">
      <c r="A16" s="34" t="s">
        <v>33</v>
      </c>
      <c r="B16" s="36">
        <v>11060.42</v>
      </c>
      <c r="C16" s="36">
        <f t="shared" si="1"/>
        <v>13272.503999999999</v>
      </c>
      <c r="D16" s="36">
        <f t="shared" si="2"/>
        <v>1327.2503999999999</v>
      </c>
      <c r="E16" s="36">
        <f t="shared" si="0"/>
        <v>14046.733400000001</v>
      </c>
      <c r="F16" s="36">
        <f t="shared" si="3"/>
        <v>15373.983800000002</v>
      </c>
      <c r="G16" s="36">
        <f t="shared" si="4"/>
        <v>1537.3983800000003</v>
      </c>
      <c r="H16" s="36">
        <f t="shared" si="5"/>
        <v>16911.382180000001</v>
      </c>
      <c r="I16" s="36">
        <f t="shared" si="6"/>
        <v>1537.3983800000003</v>
      </c>
      <c r="J16" s="36">
        <f t="shared" si="7"/>
        <v>18448.780559999999</v>
      </c>
      <c r="L16" s="37">
        <v>14</v>
      </c>
      <c r="M16" s="37">
        <v>14</v>
      </c>
      <c r="N16" s="37">
        <v>14</v>
      </c>
      <c r="O16" s="37">
        <v>14</v>
      </c>
      <c r="Q16" s="40">
        <v>42826</v>
      </c>
      <c r="R16" s="41">
        <v>1</v>
      </c>
    </row>
    <row r="17" spans="1:18">
      <c r="A17" s="34" t="s">
        <v>34</v>
      </c>
      <c r="B17" s="36">
        <v>11396.58</v>
      </c>
      <c r="C17" s="36">
        <f t="shared" si="1"/>
        <v>13675.895999999999</v>
      </c>
      <c r="D17" s="36">
        <f t="shared" si="2"/>
        <v>1367.5896</v>
      </c>
      <c r="E17" s="36">
        <f t="shared" si="0"/>
        <v>14473.6566</v>
      </c>
      <c r="F17" s="36">
        <f t="shared" si="3"/>
        <v>15841.2462</v>
      </c>
      <c r="G17" s="36">
        <f t="shared" si="4"/>
        <v>1584.12462</v>
      </c>
      <c r="H17" s="36">
        <f t="shared" si="5"/>
        <v>17425.37082</v>
      </c>
      <c r="I17" s="36">
        <f t="shared" si="6"/>
        <v>1584.12462</v>
      </c>
      <c r="J17" s="36">
        <f t="shared" si="7"/>
        <v>19009.495439999999</v>
      </c>
      <c r="L17" s="37"/>
      <c r="M17" s="37">
        <v>15</v>
      </c>
      <c r="N17" s="37">
        <v>15</v>
      </c>
      <c r="O17" s="37">
        <v>15</v>
      </c>
      <c r="Q17" s="40">
        <v>42856</v>
      </c>
      <c r="R17" s="41">
        <v>2</v>
      </c>
    </row>
    <row r="18" spans="1:18">
      <c r="A18" s="34" t="s">
        <v>35</v>
      </c>
      <c r="B18" s="36">
        <v>11080.79</v>
      </c>
      <c r="C18" s="36">
        <f t="shared" si="1"/>
        <v>13296.948</v>
      </c>
      <c r="D18" s="36">
        <f t="shared" si="2"/>
        <v>1329.6948</v>
      </c>
      <c r="E18" s="36">
        <f t="shared" si="0"/>
        <v>14072.603300000001</v>
      </c>
      <c r="F18" s="36">
        <f t="shared" si="3"/>
        <v>15402.2981</v>
      </c>
      <c r="G18" s="36">
        <f t="shared" si="4"/>
        <v>1540.22981</v>
      </c>
      <c r="H18" s="36">
        <f t="shared" si="5"/>
        <v>16942.527910000001</v>
      </c>
      <c r="I18" s="36">
        <f t="shared" si="6"/>
        <v>1540.22981</v>
      </c>
      <c r="J18" s="36">
        <f t="shared" si="7"/>
        <v>18482.757720000001</v>
      </c>
      <c r="L18" s="37"/>
      <c r="M18" s="37">
        <v>16</v>
      </c>
      <c r="N18" s="37">
        <v>16</v>
      </c>
      <c r="O18" s="37">
        <v>16</v>
      </c>
      <c r="Q18" s="40">
        <v>42887</v>
      </c>
      <c r="R18" s="41">
        <v>3</v>
      </c>
    </row>
    <row r="19" spans="1:18">
      <c r="A19" s="34" t="s">
        <v>36</v>
      </c>
      <c r="B19" s="36">
        <v>11264.15</v>
      </c>
      <c r="C19" s="36">
        <f t="shared" si="1"/>
        <v>13516.98</v>
      </c>
      <c r="D19" s="36">
        <f t="shared" si="2"/>
        <v>1351.6979999999999</v>
      </c>
      <c r="E19" s="36">
        <f t="shared" si="0"/>
        <v>14305.470499999999</v>
      </c>
      <c r="F19" s="36">
        <f t="shared" si="3"/>
        <v>15657.1685</v>
      </c>
      <c r="G19" s="36">
        <f t="shared" si="4"/>
        <v>1565.71685</v>
      </c>
      <c r="H19" s="36">
        <f t="shared" si="5"/>
        <v>17222.88535</v>
      </c>
      <c r="I19" s="36">
        <f t="shared" si="6"/>
        <v>1565.71685</v>
      </c>
      <c r="J19" s="36">
        <f t="shared" si="7"/>
        <v>18788.602200000001</v>
      </c>
      <c r="L19" s="37"/>
      <c r="M19" s="37">
        <v>17</v>
      </c>
      <c r="N19" s="37">
        <v>17</v>
      </c>
      <c r="O19" s="37">
        <v>17</v>
      </c>
      <c r="Q19" s="40">
        <v>42917</v>
      </c>
      <c r="R19" s="41">
        <v>4</v>
      </c>
    </row>
    <row r="20" spans="1:18">
      <c r="A20" s="34" t="s">
        <v>37</v>
      </c>
      <c r="B20" s="36">
        <v>10958.52</v>
      </c>
      <c r="C20" s="36">
        <f t="shared" si="1"/>
        <v>13150.224</v>
      </c>
      <c r="D20" s="36">
        <f t="shared" si="2"/>
        <v>1315.0224000000001</v>
      </c>
      <c r="E20" s="36">
        <f>+B20*1.27</f>
        <v>13917.320400000001</v>
      </c>
      <c r="F20" s="36">
        <f t="shared" si="3"/>
        <v>15232.3428</v>
      </c>
      <c r="G20" s="36">
        <f t="shared" si="4"/>
        <v>1523.2342800000001</v>
      </c>
      <c r="H20" s="36">
        <f t="shared" si="5"/>
        <v>16755.577079999999</v>
      </c>
      <c r="I20" s="36">
        <f t="shared" si="6"/>
        <v>1523.2342800000001</v>
      </c>
      <c r="J20" s="36">
        <f t="shared" si="7"/>
        <v>18278.81136</v>
      </c>
      <c r="L20" s="37"/>
      <c r="M20" s="37">
        <v>18</v>
      </c>
      <c r="N20" s="37">
        <v>18</v>
      </c>
      <c r="O20" s="37">
        <v>18</v>
      </c>
      <c r="Q20" s="40">
        <v>42948</v>
      </c>
      <c r="R20" s="41">
        <v>5</v>
      </c>
    </row>
    <row r="21" spans="1:18">
      <c r="A21" s="34" t="s">
        <v>7</v>
      </c>
      <c r="B21" s="36">
        <v>11264.15</v>
      </c>
      <c r="C21" s="36">
        <f t="shared" si="1"/>
        <v>13516.98</v>
      </c>
      <c r="D21" s="36">
        <f t="shared" si="2"/>
        <v>1351.6979999999999</v>
      </c>
      <c r="E21" s="36">
        <f t="shared" si="0"/>
        <v>14305.470499999999</v>
      </c>
      <c r="F21" s="36">
        <f t="shared" si="3"/>
        <v>15657.1685</v>
      </c>
      <c r="G21" s="36">
        <f t="shared" si="4"/>
        <v>1565.71685</v>
      </c>
      <c r="H21" s="36">
        <f t="shared" si="5"/>
        <v>17222.88535</v>
      </c>
      <c r="I21" s="36">
        <f t="shared" si="6"/>
        <v>1565.71685</v>
      </c>
      <c r="J21" s="36">
        <f t="shared" si="7"/>
        <v>18788.602200000001</v>
      </c>
      <c r="L21" s="37"/>
      <c r="M21" s="37">
        <v>19</v>
      </c>
      <c r="N21" s="37">
        <v>19</v>
      </c>
      <c r="O21" s="37">
        <v>19</v>
      </c>
      <c r="Q21" s="40">
        <v>42979</v>
      </c>
      <c r="R21" s="41">
        <v>6</v>
      </c>
    </row>
    <row r="22" spans="1:18">
      <c r="A22" s="34" t="s">
        <v>40</v>
      </c>
      <c r="B22" s="36">
        <v>11366.03</v>
      </c>
      <c r="C22" s="36">
        <f t="shared" si="1"/>
        <v>13639.236000000001</v>
      </c>
      <c r="D22" s="36">
        <f t="shared" si="2"/>
        <v>1363.9236000000001</v>
      </c>
      <c r="E22" s="36">
        <f t="shared" si="0"/>
        <v>14434.858100000001</v>
      </c>
      <c r="F22" s="36">
        <f t="shared" si="3"/>
        <v>15798.781700000001</v>
      </c>
      <c r="G22" s="36">
        <f t="shared" si="4"/>
        <v>1579.8781700000002</v>
      </c>
      <c r="H22" s="36">
        <f t="shared" si="5"/>
        <v>17378.659870000003</v>
      </c>
      <c r="I22" s="36">
        <f t="shared" si="6"/>
        <v>1579.8781700000002</v>
      </c>
      <c r="J22" s="36">
        <f t="shared" si="7"/>
        <v>18958.538040000003</v>
      </c>
      <c r="L22" s="37"/>
      <c r="M22" s="37">
        <v>20</v>
      </c>
      <c r="N22" s="37">
        <v>20</v>
      </c>
      <c r="O22" s="37">
        <v>20</v>
      </c>
      <c r="Q22" s="40">
        <v>43009</v>
      </c>
      <c r="R22" s="41">
        <v>7</v>
      </c>
    </row>
    <row r="23" spans="1:18">
      <c r="A23" s="34" t="s">
        <v>42</v>
      </c>
      <c r="B23" s="36">
        <v>11590.15</v>
      </c>
      <c r="C23" s="36">
        <f t="shared" si="1"/>
        <v>13908.179999999998</v>
      </c>
      <c r="D23" s="36">
        <f t="shared" si="2"/>
        <v>1390.818</v>
      </c>
      <c r="E23" s="36">
        <f t="shared" si="0"/>
        <v>14719.4905</v>
      </c>
      <c r="F23" s="36">
        <f t="shared" si="3"/>
        <v>16110.308499999999</v>
      </c>
      <c r="G23" s="36">
        <f t="shared" si="4"/>
        <v>1611.0308500000001</v>
      </c>
      <c r="H23" s="36">
        <f t="shared" si="5"/>
        <v>17721.339349999998</v>
      </c>
      <c r="I23" s="36">
        <f t="shared" si="6"/>
        <v>1611.0308500000001</v>
      </c>
      <c r="J23" s="36">
        <f t="shared" si="7"/>
        <v>19332.370199999998</v>
      </c>
      <c r="L23" s="37"/>
      <c r="M23" s="37">
        <v>21</v>
      </c>
      <c r="N23" s="37">
        <v>21</v>
      </c>
      <c r="O23" s="37">
        <v>21</v>
      </c>
      <c r="Q23" s="40">
        <v>43040</v>
      </c>
      <c r="R23" s="41">
        <v>8</v>
      </c>
    </row>
    <row r="24" spans="1:18">
      <c r="E24" s="33">
        <f>+E20/2</f>
        <v>6958.6602000000003</v>
      </c>
      <c r="F24" s="33">
        <f>+F20/2</f>
        <v>7616.1714000000002</v>
      </c>
      <c r="G24" s="33">
        <f t="shared" si="4"/>
        <v>761.61714000000006</v>
      </c>
      <c r="H24" s="33">
        <f t="shared" si="5"/>
        <v>8377.7885399999996</v>
      </c>
      <c r="I24" s="33">
        <f t="shared" si="6"/>
        <v>761.61714000000006</v>
      </c>
      <c r="L24" s="37"/>
      <c r="M24" s="37"/>
      <c r="N24" s="37">
        <v>22</v>
      </c>
      <c r="O24" s="37">
        <v>22</v>
      </c>
      <c r="Q24" s="40">
        <v>43070</v>
      </c>
      <c r="R24" s="41">
        <v>9</v>
      </c>
    </row>
    <row r="25" spans="1:18">
      <c r="L25" s="37"/>
      <c r="M25" s="37"/>
      <c r="N25" s="37">
        <v>23</v>
      </c>
      <c r="O25" s="37">
        <v>23</v>
      </c>
      <c r="Q25" s="40">
        <v>43101</v>
      </c>
      <c r="R25" s="41">
        <v>10</v>
      </c>
    </row>
    <row r="26" spans="1:18">
      <c r="L26" s="37"/>
      <c r="M26" s="37"/>
      <c r="N26" s="37">
        <v>24</v>
      </c>
      <c r="O26" s="37">
        <v>24</v>
      </c>
      <c r="Q26" s="40">
        <v>43132</v>
      </c>
      <c r="R26" s="41">
        <v>11</v>
      </c>
    </row>
    <row r="27" spans="1:18">
      <c r="L27" s="37"/>
      <c r="M27" s="37"/>
      <c r="N27" s="37">
        <v>25</v>
      </c>
      <c r="O27" s="37">
        <v>25</v>
      </c>
      <c r="Q27" s="40">
        <v>43160</v>
      </c>
      <c r="R27" s="41">
        <v>12</v>
      </c>
    </row>
    <row r="28" spans="1:18">
      <c r="L28" s="37"/>
      <c r="M28" s="37"/>
      <c r="N28" s="37">
        <v>26</v>
      </c>
      <c r="O28" s="37">
        <v>26</v>
      </c>
    </row>
    <row r="29" spans="1:18">
      <c r="L29" s="37"/>
      <c r="M29" s="37"/>
      <c r="N29" s="37">
        <v>27</v>
      </c>
      <c r="O29" s="37">
        <v>27</v>
      </c>
    </row>
    <row r="30" spans="1:18">
      <c r="L30" s="37"/>
      <c r="M30" s="37"/>
      <c r="N30" s="37">
        <v>28</v>
      </c>
      <c r="O30" s="37">
        <v>28</v>
      </c>
    </row>
    <row r="31" spans="1:18">
      <c r="L31" s="37"/>
      <c r="M31" s="37"/>
      <c r="N31" s="37"/>
      <c r="O31" s="37">
        <v>29</v>
      </c>
    </row>
    <row r="32" spans="1:18">
      <c r="L32" s="37"/>
      <c r="M32" s="37"/>
      <c r="N32" s="37"/>
      <c r="O32" s="37">
        <v>30</v>
      </c>
    </row>
    <row r="33" spans="12:15">
      <c r="L33" s="37"/>
      <c r="M33" s="37"/>
      <c r="N33" s="37"/>
      <c r="O33" s="37">
        <v>31</v>
      </c>
    </row>
    <row r="34" spans="12:15">
      <c r="L34" s="37"/>
      <c r="M34" s="37"/>
      <c r="N34" s="37"/>
      <c r="O34" s="37">
        <v>32</v>
      </c>
    </row>
    <row r="35" spans="12:15">
      <c r="L35" s="37"/>
      <c r="M35" s="37"/>
      <c r="N35" s="37"/>
      <c r="O35" s="37">
        <v>33</v>
      </c>
    </row>
    <row r="36" spans="12:15">
      <c r="L36" s="37"/>
      <c r="M36" s="37"/>
      <c r="N36" s="37"/>
      <c r="O36" s="37">
        <v>34</v>
      </c>
    </row>
    <row r="37" spans="12:15">
      <c r="L37" s="37"/>
      <c r="M37" s="37"/>
      <c r="N37" s="37"/>
      <c r="O37" s="37">
        <v>35</v>
      </c>
    </row>
  </sheetData>
  <mergeCells count="3">
    <mergeCell ref="L1:O1"/>
    <mergeCell ref="Q1:R1"/>
    <mergeCell ref="Q15:R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OCT-DIC 17</vt:lpstr>
      <vt:lpstr>Tablas</vt:lpstr>
      <vt:lpstr>'OCT-DIC 17'!Área_de_impresión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23292378319</dc:creator>
  <cp:lastModifiedBy>Julieta Lenticchia</cp:lastModifiedBy>
  <dcterms:created xsi:type="dcterms:W3CDTF">2017-01-03T15:07:11Z</dcterms:created>
  <dcterms:modified xsi:type="dcterms:W3CDTF">2017-11-23T02:18:11Z</dcterms:modified>
</cp:coreProperties>
</file>